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BDULLAH\Desktop\"/>
    </mc:Choice>
  </mc:AlternateContent>
  <bookViews>
    <workbookView xWindow="0" yWindow="0" windowWidth="20490" windowHeight="7695"/>
  </bookViews>
  <sheets>
    <sheet name="Sheet1" sheetId="1" r:id="rId1"/>
    <sheet name="Sheet2" sheetId="2" state="hidden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3" i="2" l="1"/>
  <c r="O14" i="2" s="1"/>
  <c r="O5" i="2"/>
  <c r="O11" i="2"/>
  <c r="O22" i="2"/>
  <c r="O20" i="2"/>
  <c r="O19" i="2"/>
  <c r="O16" i="2"/>
  <c r="O15" i="2"/>
  <c r="O7" i="2"/>
  <c r="O8" i="2"/>
  <c r="O6" i="2"/>
  <c r="O3" i="2" l="1"/>
  <c r="O13" i="2"/>
  <c r="O4" i="2"/>
  <c r="O9" i="2" s="1"/>
  <c r="O12" i="2"/>
  <c r="O17" i="2" s="1"/>
  <c r="A7" i="2" s="1"/>
  <c r="A5" i="2" l="1"/>
  <c r="O21" i="2" s="1"/>
  <c r="A10" i="2"/>
  <c r="A4" i="2"/>
  <c r="A9" i="2"/>
  <c r="A3" i="2"/>
  <c r="K12" i="2"/>
  <c r="I12" i="2"/>
  <c r="G12" i="2"/>
  <c r="E12" i="2"/>
  <c r="C12" i="2"/>
  <c r="J12" i="2"/>
  <c r="H12" i="2"/>
  <c r="F12" i="2"/>
  <c r="D12" i="2"/>
  <c r="F20" i="2" l="1"/>
  <c r="J1" i="2" s="1"/>
  <c r="F21" i="2"/>
  <c r="J2" i="2" s="1"/>
  <c r="E5" i="2"/>
  <c r="E6" i="2"/>
  <c r="F2" i="2" l="1"/>
  <c r="F1" i="2"/>
</calcChain>
</file>

<file path=xl/sharedStrings.xml><?xml version="1.0" encoding="utf-8"?>
<sst xmlns="http://schemas.openxmlformats.org/spreadsheetml/2006/main" count="104" uniqueCount="43">
  <si>
    <t>Team Leader Name</t>
  </si>
  <si>
    <t>Subodh</t>
  </si>
  <si>
    <t>Target</t>
  </si>
  <si>
    <t>Achievement</t>
  </si>
  <si>
    <t>Anish</t>
  </si>
  <si>
    <t>Total</t>
  </si>
  <si>
    <t>Week One</t>
  </si>
  <si>
    <t>Week two</t>
  </si>
  <si>
    <t>Week Three</t>
  </si>
  <si>
    <t>KOTAK MTD TL WISE PERFORMANCE CHART</t>
  </si>
  <si>
    <t>Week Four</t>
  </si>
  <si>
    <t>Font Color
Strips</t>
  </si>
  <si>
    <t>Font Color
Content</t>
  </si>
  <si>
    <t>Table Color           </t>
  </si>
  <si>
    <t>Width:</t>
  </si>
  <si>
    <t>Height</t>
  </si>
  <si>
    <t>c1</t>
  </si>
  <si>
    <t>c2</t>
  </si>
  <si>
    <t>c3</t>
  </si>
  <si>
    <t>No Of Weeks :</t>
  </si>
  <si>
    <t>No of Weeks</t>
  </si>
  <si>
    <t>totalWidth</t>
  </si>
  <si>
    <t>totalHeight</t>
  </si>
  <si>
    <t>r1</t>
  </si>
  <si>
    <t>r2</t>
  </si>
  <si>
    <t>r3</t>
  </si>
  <si>
    <t>r4</t>
  </si>
  <si>
    <t>Sum of Ratios (parts)
Width</t>
  </si>
  <si>
    <t>Sum of Ratios (parts)
Height</t>
  </si>
  <si>
    <t>r5</t>
  </si>
  <si>
    <t>r6</t>
  </si>
  <si>
    <t>inner1</t>
  </si>
  <si>
    <t>inner2</t>
  </si>
  <si>
    <t>totalinner</t>
  </si>
  <si>
    <t>Sum of Ratios (parts)
Inner</t>
  </si>
  <si>
    <t>roundOut</t>
  </si>
  <si>
    <t>calculate Value Height</t>
  </si>
  <si>
    <t>calculate Value Width</t>
  </si>
  <si>
    <t>Error Percentage:</t>
  </si>
  <si>
    <t>Error Value</t>
  </si>
  <si>
    <t>Height:</t>
  </si>
  <si>
    <t>RoundUp</t>
  </si>
  <si>
    <t>centimeters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</si>
</sst>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u/>
      <sz val="12"/>
      <color rgb="FFFFFFFF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D1721"/>
        <bgColor indexed="64"/>
      </patternFill>
    </fill>
    <fill>
      <patternFill patternType="solid">
        <fgColor rgb="FF309DB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rgb="FFFFFF00"/>
      </left>
      <right style="thin">
        <color rgb="FFFFFF00"/>
      </right>
      <top style="thin">
        <color rgb="FFFFFF00"/>
      </top>
      <bottom style="thin">
        <color rgb="FFFFFF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rgb="FFFFFF00"/>
      </left>
      <right style="thin">
        <color rgb="FFFFFF00"/>
      </right>
      <top style="thin">
        <color rgb="FFFFFF00"/>
      </top>
      <bottom/>
      <diagonal/>
    </border>
    <border>
      <left style="thin">
        <color rgb="FFFFFF00"/>
      </left>
      <right style="thin">
        <color rgb="FFFFFF00"/>
      </right>
      <top/>
      <bottom style="thin">
        <color rgb="FFFFFF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FFFF00"/>
      </left>
      <right/>
      <top style="thin">
        <color rgb="FFFFFF00"/>
      </top>
      <bottom style="thin">
        <color rgb="FFFFFF00"/>
      </bottom>
      <diagonal/>
    </border>
    <border>
      <left/>
      <right style="thin">
        <color rgb="FFFFFF00"/>
      </right>
      <top style="thin">
        <color rgb="FFFFFF00"/>
      </top>
      <bottom style="thin">
        <color rgb="FFFFFF00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0" fillId="4" borderId="2" xfId="0" applyFill="1" applyBorder="1"/>
    <xf numFmtId="0" fontId="0" fillId="4" borderId="8" xfId="0" applyFill="1" applyBorder="1"/>
    <xf numFmtId="0" fontId="0" fillId="4" borderId="6" xfId="0" applyFill="1" applyBorder="1"/>
    <xf numFmtId="0" fontId="0" fillId="4" borderId="9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0" xfId="0" applyFill="1" applyBorder="1"/>
    <xf numFmtId="0" fontId="0" fillId="4" borderId="5" xfId="0" applyFill="1" applyBorder="1"/>
    <xf numFmtId="0" fontId="0" fillId="4" borderId="7" xfId="0" applyFill="1" applyBorder="1"/>
    <xf numFmtId="0" fontId="3" fillId="3" borderId="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3" fillId="3" borderId="13" xfId="0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4" borderId="0" xfId="0" applyFill="1"/>
    <xf numFmtId="0" fontId="5" fillId="4" borderId="12" xfId="0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right"/>
    </xf>
    <xf numFmtId="0" fontId="0" fillId="4" borderId="0" xfId="0" applyFill="1" applyAlignment="1">
      <alignment horizontal="left"/>
    </xf>
    <xf numFmtId="0" fontId="4" fillId="5" borderId="12" xfId="0" applyFont="1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 wrapText="1"/>
    </xf>
    <xf numFmtId="0" fontId="0" fillId="4" borderId="3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0" xfId="0" applyFill="1" applyAlignment="1">
      <alignment horizontal="right"/>
    </xf>
    <xf numFmtId="0" fontId="1" fillId="2" borderId="0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D1721"/>
      <color rgb="FFCD1D68"/>
      <color rgb="FF309DBA"/>
      <color rgb="FF166F9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13" Type="http://schemas.openxmlformats.org/officeDocument/2006/relationships/image" Target="../media/image11.emf"/><Relationship Id="rId18" Type="http://schemas.openxmlformats.org/officeDocument/2006/relationships/image" Target="../media/image6.emf"/><Relationship Id="rId3" Type="http://schemas.openxmlformats.org/officeDocument/2006/relationships/image" Target="../media/image18.emf"/><Relationship Id="rId21" Type="http://schemas.openxmlformats.org/officeDocument/2006/relationships/image" Target="../media/image3.emf"/><Relationship Id="rId7" Type="http://schemas.openxmlformats.org/officeDocument/2006/relationships/image" Target="../media/image22.emf"/><Relationship Id="rId12" Type="http://schemas.openxmlformats.org/officeDocument/2006/relationships/image" Target="../media/image12.emf"/><Relationship Id="rId17" Type="http://schemas.openxmlformats.org/officeDocument/2006/relationships/image" Target="../media/image7.emf"/><Relationship Id="rId2" Type="http://schemas.openxmlformats.org/officeDocument/2006/relationships/image" Target="../media/image17.emf"/><Relationship Id="rId16" Type="http://schemas.openxmlformats.org/officeDocument/2006/relationships/image" Target="../media/image8.emf"/><Relationship Id="rId20" Type="http://schemas.openxmlformats.org/officeDocument/2006/relationships/image" Target="../media/image4.emf"/><Relationship Id="rId1" Type="http://schemas.openxmlformats.org/officeDocument/2006/relationships/image" Target="../media/image16.emf"/><Relationship Id="rId6" Type="http://schemas.openxmlformats.org/officeDocument/2006/relationships/image" Target="../media/image21.emf"/><Relationship Id="rId11" Type="http://schemas.openxmlformats.org/officeDocument/2006/relationships/image" Target="../media/image13.emf"/><Relationship Id="rId24" Type="http://schemas.openxmlformats.org/officeDocument/2006/relationships/image" Target="../media/image25.emf"/><Relationship Id="rId5" Type="http://schemas.openxmlformats.org/officeDocument/2006/relationships/image" Target="../media/image20.emf"/><Relationship Id="rId15" Type="http://schemas.openxmlformats.org/officeDocument/2006/relationships/image" Target="../media/image9.emf"/><Relationship Id="rId23" Type="http://schemas.openxmlformats.org/officeDocument/2006/relationships/image" Target="../media/image1.emf"/><Relationship Id="rId10" Type="http://schemas.openxmlformats.org/officeDocument/2006/relationships/image" Target="../media/image14.emf"/><Relationship Id="rId19" Type="http://schemas.openxmlformats.org/officeDocument/2006/relationships/image" Target="../media/image5.emf"/><Relationship Id="rId4" Type="http://schemas.openxmlformats.org/officeDocument/2006/relationships/image" Target="../media/image19.emf"/><Relationship Id="rId9" Type="http://schemas.openxmlformats.org/officeDocument/2006/relationships/image" Target="../media/image15.emf"/><Relationship Id="rId14" Type="http://schemas.openxmlformats.org/officeDocument/2006/relationships/image" Target="../media/image10.emf"/><Relationship Id="rId22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9</xdr:row>
          <xdr:rowOff>104775</xdr:rowOff>
        </xdr:from>
        <xdr:to>
          <xdr:col>0</xdr:col>
          <xdr:colOff>962025</xdr:colOff>
          <xdr:row>11</xdr:row>
          <xdr:rowOff>57150</xdr:rowOff>
        </xdr:to>
        <xdr:sp macro="" textlink="">
          <xdr:nvSpPr>
            <xdr:cNvPr id="1025" name="blackB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1123950</xdr:colOff>
          <xdr:row>9</xdr:row>
          <xdr:rowOff>104775</xdr:rowOff>
        </xdr:from>
        <xdr:to>
          <xdr:col>0</xdr:col>
          <xdr:colOff>2000250</xdr:colOff>
          <xdr:row>11</xdr:row>
          <xdr:rowOff>57150</xdr:rowOff>
        </xdr:to>
        <xdr:sp macro="" textlink="">
          <xdr:nvSpPr>
            <xdr:cNvPr id="1027" name="pinkB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9</xdr:row>
          <xdr:rowOff>104775</xdr:rowOff>
        </xdr:from>
        <xdr:to>
          <xdr:col>1</xdr:col>
          <xdr:colOff>933450</xdr:colOff>
          <xdr:row>11</xdr:row>
          <xdr:rowOff>57150</xdr:rowOff>
        </xdr:to>
        <xdr:sp macro="" textlink="">
          <xdr:nvSpPr>
            <xdr:cNvPr id="1028" name="whiteB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12</xdr:row>
          <xdr:rowOff>0</xdr:rowOff>
        </xdr:from>
        <xdr:to>
          <xdr:col>0</xdr:col>
          <xdr:colOff>962025</xdr:colOff>
          <xdr:row>13</xdr:row>
          <xdr:rowOff>142875</xdr:rowOff>
        </xdr:to>
        <xdr:sp macro="" textlink="">
          <xdr:nvSpPr>
            <xdr:cNvPr id="1029" name="blackC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1114425</xdr:colOff>
          <xdr:row>12</xdr:row>
          <xdr:rowOff>0</xdr:rowOff>
        </xdr:from>
        <xdr:to>
          <xdr:col>0</xdr:col>
          <xdr:colOff>1990725</xdr:colOff>
          <xdr:row>13</xdr:row>
          <xdr:rowOff>142875</xdr:rowOff>
        </xdr:to>
        <xdr:sp macro="" textlink="">
          <xdr:nvSpPr>
            <xdr:cNvPr id="1030" name="pinkC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12</xdr:row>
          <xdr:rowOff>0</xdr:rowOff>
        </xdr:from>
        <xdr:to>
          <xdr:col>1</xdr:col>
          <xdr:colOff>942975</xdr:colOff>
          <xdr:row>13</xdr:row>
          <xdr:rowOff>142875</xdr:rowOff>
        </xdr:to>
        <xdr:sp macro="" textlink="">
          <xdr:nvSpPr>
            <xdr:cNvPr id="1031" name="whiteC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1133475</xdr:colOff>
          <xdr:row>9</xdr:row>
          <xdr:rowOff>38100</xdr:rowOff>
        </xdr:from>
        <xdr:to>
          <xdr:col>2</xdr:col>
          <xdr:colOff>495300</xdr:colOff>
          <xdr:row>10</xdr:row>
          <xdr:rowOff>228600</xdr:rowOff>
        </xdr:to>
        <xdr:sp macro="" textlink="">
          <xdr:nvSpPr>
            <xdr:cNvPr id="1034" name="ResetB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1133475</xdr:colOff>
          <xdr:row>11</xdr:row>
          <xdr:rowOff>19050</xdr:rowOff>
        </xdr:from>
        <xdr:to>
          <xdr:col>2</xdr:col>
          <xdr:colOff>495300</xdr:colOff>
          <xdr:row>12</xdr:row>
          <xdr:rowOff>209550</xdr:rowOff>
        </xdr:to>
        <xdr:sp macro="" textlink="">
          <xdr:nvSpPr>
            <xdr:cNvPr id="1035" name="ResetC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9</xdr:row>
          <xdr:rowOff>85725</xdr:rowOff>
        </xdr:from>
        <xdr:to>
          <xdr:col>3</xdr:col>
          <xdr:colOff>352425</xdr:colOff>
          <xdr:row>10</xdr:row>
          <xdr:rowOff>180975</xdr:rowOff>
        </xdr:to>
        <xdr:sp macro="" textlink="">
          <xdr:nvSpPr>
            <xdr:cNvPr id="1039" name="b1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9</xdr:row>
          <xdr:rowOff>85725</xdr:rowOff>
        </xdr:from>
        <xdr:to>
          <xdr:col>4</xdr:col>
          <xdr:colOff>542925</xdr:colOff>
          <xdr:row>10</xdr:row>
          <xdr:rowOff>180975</xdr:rowOff>
        </xdr:to>
        <xdr:sp macro="" textlink="">
          <xdr:nvSpPr>
            <xdr:cNvPr id="1040" name="b5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1304925</xdr:colOff>
          <xdr:row>9</xdr:row>
          <xdr:rowOff>85725</xdr:rowOff>
        </xdr:from>
        <xdr:to>
          <xdr:col>4</xdr:col>
          <xdr:colOff>114300</xdr:colOff>
          <xdr:row>10</xdr:row>
          <xdr:rowOff>180975</xdr:rowOff>
        </xdr:to>
        <xdr:sp macro="" textlink="">
          <xdr:nvSpPr>
            <xdr:cNvPr id="1041" name="b4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885825</xdr:colOff>
          <xdr:row>9</xdr:row>
          <xdr:rowOff>85725</xdr:rowOff>
        </xdr:from>
        <xdr:to>
          <xdr:col>3</xdr:col>
          <xdr:colOff>1209675</xdr:colOff>
          <xdr:row>10</xdr:row>
          <xdr:rowOff>180975</xdr:rowOff>
        </xdr:to>
        <xdr:sp macro="" textlink="">
          <xdr:nvSpPr>
            <xdr:cNvPr id="1042" name="b3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781050</xdr:colOff>
          <xdr:row>9</xdr:row>
          <xdr:rowOff>85725</xdr:rowOff>
        </xdr:from>
        <xdr:to>
          <xdr:col>7</xdr:col>
          <xdr:colOff>200025</xdr:colOff>
          <xdr:row>10</xdr:row>
          <xdr:rowOff>180975</xdr:rowOff>
        </xdr:to>
        <xdr:sp macro="" textlink="">
          <xdr:nvSpPr>
            <xdr:cNvPr id="1043" name="b12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457200</xdr:colOff>
          <xdr:row>9</xdr:row>
          <xdr:rowOff>85725</xdr:rowOff>
        </xdr:from>
        <xdr:to>
          <xdr:col>3</xdr:col>
          <xdr:colOff>781050</xdr:colOff>
          <xdr:row>10</xdr:row>
          <xdr:rowOff>180975</xdr:rowOff>
        </xdr:to>
        <xdr:sp macro="" textlink="">
          <xdr:nvSpPr>
            <xdr:cNvPr id="1044" name="b2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647700</xdr:colOff>
          <xdr:row>9</xdr:row>
          <xdr:rowOff>85725</xdr:rowOff>
        </xdr:from>
        <xdr:to>
          <xdr:col>5</xdr:col>
          <xdr:colOff>66675</xdr:colOff>
          <xdr:row>10</xdr:row>
          <xdr:rowOff>180975</xdr:rowOff>
        </xdr:to>
        <xdr:sp macro="" textlink="">
          <xdr:nvSpPr>
            <xdr:cNvPr id="1045" name="b6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9</xdr:row>
          <xdr:rowOff>85725</xdr:rowOff>
        </xdr:from>
        <xdr:to>
          <xdr:col>5</xdr:col>
          <xdr:colOff>495300</xdr:colOff>
          <xdr:row>10</xdr:row>
          <xdr:rowOff>180975</xdr:rowOff>
        </xdr:to>
        <xdr:sp macro="" textlink="">
          <xdr:nvSpPr>
            <xdr:cNvPr id="1046" name="b7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9</xdr:row>
          <xdr:rowOff>85725</xdr:rowOff>
        </xdr:from>
        <xdr:to>
          <xdr:col>5</xdr:col>
          <xdr:colOff>914400</xdr:colOff>
          <xdr:row>10</xdr:row>
          <xdr:rowOff>180975</xdr:rowOff>
        </xdr:to>
        <xdr:sp macro="" textlink="">
          <xdr:nvSpPr>
            <xdr:cNvPr id="1047" name="b8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361950</xdr:colOff>
          <xdr:row>9</xdr:row>
          <xdr:rowOff>85725</xdr:rowOff>
        </xdr:from>
        <xdr:to>
          <xdr:col>6</xdr:col>
          <xdr:colOff>685800</xdr:colOff>
          <xdr:row>10</xdr:row>
          <xdr:rowOff>180975</xdr:rowOff>
        </xdr:to>
        <xdr:sp macro="" textlink="">
          <xdr:nvSpPr>
            <xdr:cNvPr id="1048" name="b11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1019175</xdr:colOff>
          <xdr:row>9</xdr:row>
          <xdr:rowOff>85725</xdr:rowOff>
        </xdr:from>
        <xdr:to>
          <xdr:col>5</xdr:col>
          <xdr:colOff>1343025</xdr:colOff>
          <xdr:row>10</xdr:row>
          <xdr:rowOff>180975</xdr:rowOff>
        </xdr:to>
        <xdr:sp macro="" textlink="">
          <xdr:nvSpPr>
            <xdr:cNvPr id="1049" name="b9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1447800</xdr:colOff>
          <xdr:row>9</xdr:row>
          <xdr:rowOff>85725</xdr:rowOff>
        </xdr:from>
        <xdr:to>
          <xdr:col>6</xdr:col>
          <xdr:colOff>257175</xdr:colOff>
          <xdr:row>10</xdr:row>
          <xdr:rowOff>180975</xdr:rowOff>
        </xdr:to>
        <xdr:sp macro="" textlink="">
          <xdr:nvSpPr>
            <xdr:cNvPr id="1050" name="b10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11</xdr:row>
          <xdr:rowOff>85725</xdr:rowOff>
        </xdr:from>
        <xdr:to>
          <xdr:col>3</xdr:col>
          <xdr:colOff>352425</xdr:colOff>
          <xdr:row>12</xdr:row>
          <xdr:rowOff>180975</xdr:rowOff>
        </xdr:to>
        <xdr:sp macro="" textlink="">
          <xdr:nvSpPr>
            <xdr:cNvPr id="1063" name="c1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11</xdr:row>
          <xdr:rowOff>85725</xdr:rowOff>
        </xdr:from>
        <xdr:to>
          <xdr:col>4</xdr:col>
          <xdr:colOff>542925</xdr:colOff>
          <xdr:row>12</xdr:row>
          <xdr:rowOff>180975</xdr:rowOff>
        </xdr:to>
        <xdr:sp macro="" textlink="">
          <xdr:nvSpPr>
            <xdr:cNvPr id="1064" name="c5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1304925</xdr:colOff>
          <xdr:row>11</xdr:row>
          <xdr:rowOff>85725</xdr:rowOff>
        </xdr:from>
        <xdr:to>
          <xdr:col>4</xdr:col>
          <xdr:colOff>114300</xdr:colOff>
          <xdr:row>12</xdr:row>
          <xdr:rowOff>180975</xdr:rowOff>
        </xdr:to>
        <xdr:sp macro="" textlink="">
          <xdr:nvSpPr>
            <xdr:cNvPr id="1065" name="c4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885825</xdr:colOff>
          <xdr:row>11</xdr:row>
          <xdr:rowOff>85725</xdr:rowOff>
        </xdr:from>
        <xdr:to>
          <xdr:col>3</xdr:col>
          <xdr:colOff>1209675</xdr:colOff>
          <xdr:row>12</xdr:row>
          <xdr:rowOff>180975</xdr:rowOff>
        </xdr:to>
        <xdr:sp macro="" textlink="">
          <xdr:nvSpPr>
            <xdr:cNvPr id="1066" name="c3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781050</xdr:colOff>
          <xdr:row>11</xdr:row>
          <xdr:rowOff>85725</xdr:rowOff>
        </xdr:from>
        <xdr:to>
          <xdr:col>7</xdr:col>
          <xdr:colOff>200025</xdr:colOff>
          <xdr:row>12</xdr:row>
          <xdr:rowOff>180975</xdr:rowOff>
        </xdr:to>
        <xdr:sp macro="" textlink="">
          <xdr:nvSpPr>
            <xdr:cNvPr id="1067" name="c12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457200</xdr:colOff>
          <xdr:row>11</xdr:row>
          <xdr:rowOff>85725</xdr:rowOff>
        </xdr:from>
        <xdr:to>
          <xdr:col>3</xdr:col>
          <xdr:colOff>781050</xdr:colOff>
          <xdr:row>12</xdr:row>
          <xdr:rowOff>180975</xdr:rowOff>
        </xdr:to>
        <xdr:sp macro="" textlink="">
          <xdr:nvSpPr>
            <xdr:cNvPr id="1068" name="c2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647700</xdr:colOff>
          <xdr:row>11</xdr:row>
          <xdr:rowOff>85725</xdr:rowOff>
        </xdr:from>
        <xdr:to>
          <xdr:col>5</xdr:col>
          <xdr:colOff>66675</xdr:colOff>
          <xdr:row>12</xdr:row>
          <xdr:rowOff>180975</xdr:rowOff>
        </xdr:to>
        <xdr:sp macro="" textlink="">
          <xdr:nvSpPr>
            <xdr:cNvPr id="1069" name="c6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11</xdr:row>
          <xdr:rowOff>85725</xdr:rowOff>
        </xdr:from>
        <xdr:to>
          <xdr:col>5</xdr:col>
          <xdr:colOff>495300</xdr:colOff>
          <xdr:row>12</xdr:row>
          <xdr:rowOff>180975</xdr:rowOff>
        </xdr:to>
        <xdr:sp macro="" textlink="">
          <xdr:nvSpPr>
            <xdr:cNvPr id="1070" name="c7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11</xdr:row>
          <xdr:rowOff>85725</xdr:rowOff>
        </xdr:from>
        <xdr:to>
          <xdr:col>5</xdr:col>
          <xdr:colOff>914400</xdr:colOff>
          <xdr:row>12</xdr:row>
          <xdr:rowOff>180975</xdr:rowOff>
        </xdr:to>
        <xdr:sp macro="" textlink="">
          <xdr:nvSpPr>
            <xdr:cNvPr id="1071" name="c8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361950</xdr:colOff>
          <xdr:row>11</xdr:row>
          <xdr:rowOff>85725</xdr:rowOff>
        </xdr:from>
        <xdr:to>
          <xdr:col>6</xdr:col>
          <xdr:colOff>685800</xdr:colOff>
          <xdr:row>12</xdr:row>
          <xdr:rowOff>180975</xdr:rowOff>
        </xdr:to>
        <xdr:sp macro="" textlink="">
          <xdr:nvSpPr>
            <xdr:cNvPr id="1072" name="c11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1019175</xdr:colOff>
          <xdr:row>11</xdr:row>
          <xdr:rowOff>85725</xdr:rowOff>
        </xdr:from>
        <xdr:to>
          <xdr:col>5</xdr:col>
          <xdr:colOff>1343025</xdr:colOff>
          <xdr:row>12</xdr:row>
          <xdr:rowOff>180975</xdr:rowOff>
        </xdr:to>
        <xdr:sp macro="" textlink="">
          <xdr:nvSpPr>
            <xdr:cNvPr id="1073" name="c9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1447800</xdr:colOff>
          <xdr:row>11</xdr:row>
          <xdr:rowOff>85725</xdr:rowOff>
        </xdr:from>
        <xdr:to>
          <xdr:col>6</xdr:col>
          <xdr:colOff>257175</xdr:colOff>
          <xdr:row>12</xdr:row>
          <xdr:rowOff>180975</xdr:rowOff>
        </xdr:to>
        <xdr:sp macro="" textlink="">
          <xdr:nvSpPr>
            <xdr:cNvPr id="1074" name="c10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13</xdr:row>
          <xdr:rowOff>57150</xdr:rowOff>
        </xdr:from>
        <xdr:to>
          <xdr:col>3</xdr:col>
          <xdr:colOff>361950</xdr:colOff>
          <xdr:row>14</xdr:row>
          <xdr:rowOff>152400</xdr:rowOff>
        </xdr:to>
        <xdr:sp macro="" textlink="">
          <xdr:nvSpPr>
            <xdr:cNvPr id="1075" name="t1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13</xdr:row>
          <xdr:rowOff>57150</xdr:rowOff>
        </xdr:from>
        <xdr:to>
          <xdr:col>4</xdr:col>
          <xdr:colOff>552450</xdr:colOff>
          <xdr:row>14</xdr:row>
          <xdr:rowOff>152400</xdr:rowOff>
        </xdr:to>
        <xdr:sp macro="" textlink="">
          <xdr:nvSpPr>
            <xdr:cNvPr id="1076" name="t5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1314450</xdr:colOff>
          <xdr:row>13</xdr:row>
          <xdr:rowOff>57150</xdr:rowOff>
        </xdr:from>
        <xdr:to>
          <xdr:col>4</xdr:col>
          <xdr:colOff>123825</xdr:colOff>
          <xdr:row>14</xdr:row>
          <xdr:rowOff>152400</xdr:rowOff>
        </xdr:to>
        <xdr:sp macro="" textlink="">
          <xdr:nvSpPr>
            <xdr:cNvPr id="1077" name="t4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885825</xdr:colOff>
          <xdr:row>13</xdr:row>
          <xdr:rowOff>57150</xdr:rowOff>
        </xdr:from>
        <xdr:to>
          <xdr:col>3</xdr:col>
          <xdr:colOff>1209675</xdr:colOff>
          <xdr:row>14</xdr:row>
          <xdr:rowOff>152400</xdr:rowOff>
        </xdr:to>
        <xdr:sp macro="" textlink="">
          <xdr:nvSpPr>
            <xdr:cNvPr id="1078" name="t3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781050</xdr:colOff>
          <xdr:row>13</xdr:row>
          <xdr:rowOff>57150</xdr:rowOff>
        </xdr:from>
        <xdr:to>
          <xdr:col>7</xdr:col>
          <xdr:colOff>200025</xdr:colOff>
          <xdr:row>14</xdr:row>
          <xdr:rowOff>152400</xdr:rowOff>
        </xdr:to>
        <xdr:sp macro="" textlink="">
          <xdr:nvSpPr>
            <xdr:cNvPr id="1079" name="t12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466725</xdr:colOff>
          <xdr:row>13</xdr:row>
          <xdr:rowOff>57150</xdr:rowOff>
        </xdr:from>
        <xdr:to>
          <xdr:col>3</xdr:col>
          <xdr:colOff>790575</xdr:colOff>
          <xdr:row>14</xdr:row>
          <xdr:rowOff>152400</xdr:rowOff>
        </xdr:to>
        <xdr:sp macro="" textlink="">
          <xdr:nvSpPr>
            <xdr:cNvPr id="1080" name="t2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647700</xdr:colOff>
          <xdr:row>13</xdr:row>
          <xdr:rowOff>57150</xdr:rowOff>
        </xdr:from>
        <xdr:to>
          <xdr:col>5</xdr:col>
          <xdr:colOff>66675</xdr:colOff>
          <xdr:row>14</xdr:row>
          <xdr:rowOff>152400</xdr:rowOff>
        </xdr:to>
        <xdr:sp macro="" textlink="">
          <xdr:nvSpPr>
            <xdr:cNvPr id="1081" name="t6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13</xdr:row>
          <xdr:rowOff>57150</xdr:rowOff>
        </xdr:from>
        <xdr:to>
          <xdr:col>5</xdr:col>
          <xdr:colOff>495300</xdr:colOff>
          <xdr:row>14</xdr:row>
          <xdr:rowOff>152400</xdr:rowOff>
        </xdr:to>
        <xdr:sp macro="" textlink="">
          <xdr:nvSpPr>
            <xdr:cNvPr id="1082" name="t7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13</xdr:row>
          <xdr:rowOff>57150</xdr:rowOff>
        </xdr:from>
        <xdr:to>
          <xdr:col>5</xdr:col>
          <xdr:colOff>923925</xdr:colOff>
          <xdr:row>14</xdr:row>
          <xdr:rowOff>152400</xdr:rowOff>
        </xdr:to>
        <xdr:sp macro="" textlink="">
          <xdr:nvSpPr>
            <xdr:cNvPr id="1083" name="t8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361950</xdr:colOff>
          <xdr:row>13</xdr:row>
          <xdr:rowOff>57150</xdr:rowOff>
        </xdr:from>
        <xdr:to>
          <xdr:col>6</xdr:col>
          <xdr:colOff>685800</xdr:colOff>
          <xdr:row>14</xdr:row>
          <xdr:rowOff>152400</xdr:rowOff>
        </xdr:to>
        <xdr:sp macro="" textlink="">
          <xdr:nvSpPr>
            <xdr:cNvPr id="1084" name="t11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1019175</xdr:colOff>
          <xdr:row>13</xdr:row>
          <xdr:rowOff>57150</xdr:rowOff>
        </xdr:from>
        <xdr:to>
          <xdr:col>5</xdr:col>
          <xdr:colOff>1343025</xdr:colOff>
          <xdr:row>14</xdr:row>
          <xdr:rowOff>152400</xdr:rowOff>
        </xdr:to>
        <xdr:sp macro="" textlink="">
          <xdr:nvSpPr>
            <xdr:cNvPr id="1085" name="t9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1447800</xdr:colOff>
          <xdr:row>13</xdr:row>
          <xdr:rowOff>57150</xdr:rowOff>
        </xdr:from>
        <xdr:to>
          <xdr:col>6</xdr:col>
          <xdr:colOff>257175</xdr:colOff>
          <xdr:row>14</xdr:row>
          <xdr:rowOff>152400</xdr:rowOff>
        </xdr:to>
        <xdr:sp macro="" textlink="">
          <xdr:nvSpPr>
            <xdr:cNvPr id="1086" name="t10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9</xdr:row>
          <xdr:rowOff>85725</xdr:rowOff>
        </xdr:from>
        <xdr:to>
          <xdr:col>7</xdr:col>
          <xdr:colOff>628650</xdr:colOff>
          <xdr:row>10</xdr:row>
          <xdr:rowOff>180975</xdr:rowOff>
        </xdr:to>
        <xdr:sp macro="" textlink="">
          <xdr:nvSpPr>
            <xdr:cNvPr id="1087" name="b1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11</xdr:row>
          <xdr:rowOff>85725</xdr:rowOff>
        </xdr:from>
        <xdr:to>
          <xdr:col>7</xdr:col>
          <xdr:colOff>628650</xdr:colOff>
          <xdr:row>12</xdr:row>
          <xdr:rowOff>180975</xdr:rowOff>
        </xdr:to>
        <xdr:sp macro="" textlink="">
          <xdr:nvSpPr>
            <xdr:cNvPr id="1088" name="c13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13</xdr:row>
          <xdr:rowOff>57150</xdr:rowOff>
        </xdr:from>
        <xdr:to>
          <xdr:col>7</xdr:col>
          <xdr:colOff>628650</xdr:colOff>
          <xdr:row>14</xdr:row>
          <xdr:rowOff>152400</xdr:rowOff>
        </xdr:to>
        <xdr:sp macro="" textlink="">
          <xdr:nvSpPr>
            <xdr:cNvPr id="1089" name="t13" hidden="1">
              <a:extLst>
                <a:ext uri="{63B3BB69-23CF-44E3-9099-C40C66FF867C}">
                  <a14:compatExt spid="_x0000_s1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12</xdr:row>
          <xdr:rowOff>228600</xdr:rowOff>
        </xdr:from>
        <xdr:to>
          <xdr:col>2</xdr:col>
          <xdr:colOff>504825</xdr:colOff>
          <xdr:row>14</xdr:row>
          <xdr:rowOff>180975</xdr:rowOff>
        </xdr:to>
        <xdr:sp macro="" textlink="">
          <xdr:nvSpPr>
            <xdr:cNvPr id="1090" name="ResetT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1466850</xdr:colOff>
          <xdr:row>13</xdr:row>
          <xdr:rowOff>95250</xdr:rowOff>
        </xdr:from>
        <xdr:to>
          <xdr:col>8</xdr:col>
          <xdr:colOff>885825</xdr:colOff>
          <xdr:row>14</xdr:row>
          <xdr:rowOff>152400</xdr:rowOff>
        </xdr:to>
        <xdr:sp macro="" textlink="">
          <xdr:nvSpPr>
            <xdr:cNvPr id="1091" name="DarkBorder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781050</xdr:colOff>
          <xdr:row>11</xdr:row>
          <xdr:rowOff>85725</xdr:rowOff>
        </xdr:from>
        <xdr:to>
          <xdr:col>7</xdr:col>
          <xdr:colOff>200025</xdr:colOff>
          <xdr:row>12</xdr:row>
          <xdr:rowOff>180975</xdr:rowOff>
        </xdr:to>
        <xdr:sp macro="" textlink="">
          <xdr:nvSpPr>
            <xdr:cNvPr id="1092" name="CommandButton1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11</xdr:row>
          <xdr:rowOff>85725</xdr:rowOff>
        </xdr:from>
        <xdr:to>
          <xdr:col>7</xdr:col>
          <xdr:colOff>628650</xdr:colOff>
          <xdr:row>12</xdr:row>
          <xdr:rowOff>180975</xdr:rowOff>
        </xdr:to>
        <xdr:sp macro="" textlink="">
          <xdr:nvSpPr>
            <xdr:cNvPr id="1093" name="CommandButton2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161925</xdr:rowOff>
        </xdr:from>
        <xdr:to>
          <xdr:col>5</xdr:col>
          <xdr:colOff>1485900</xdr:colOff>
          <xdr:row>39</xdr:row>
          <xdr:rowOff>152400</xdr:rowOff>
        </xdr:to>
        <xdr:pic>
          <xdr:nvPicPr>
            <xdr:cNvPr id="63" name="Picture 62"/>
            <xdr:cNvPicPr>
              <a:picLocks noChangeAspect="1" noChangeArrowheads="1"/>
              <a:extLst>
                <a:ext uri="{84589F7E-364E-4C9E-8A38-B11213B215E9}">
                  <a14:cameraTool cellRange="Sheet2!$A$1:$L$13" spid="_x0000_s115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5772150"/>
              <a:ext cx="8420100" cy="42291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10</xdr:row>
      <xdr:rowOff>85725</xdr:rowOff>
    </xdr:from>
    <xdr:to>
      <xdr:col>3</xdr:col>
      <xdr:colOff>0</xdr:colOff>
      <xdr:row>10</xdr:row>
      <xdr:rowOff>95250</xdr:rowOff>
    </xdr:to>
    <xdr:cxnSp macro="">
      <xdr:nvCxnSpPr>
        <xdr:cNvPr id="3" name="Straight Arrow Connector 2"/>
        <xdr:cNvCxnSpPr/>
      </xdr:nvCxnSpPr>
      <xdr:spPr>
        <a:xfrm>
          <a:off x="666750" y="2066925"/>
          <a:ext cx="1333500" cy="952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9525</xdr:colOff>
      <xdr:row>10</xdr:row>
      <xdr:rowOff>95250</xdr:rowOff>
    </xdr:from>
    <xdr:to>
      <xdr:col>4</xdr:col>
      <xdr:colOff>9525</xdr:colOff>
      <xdr:row>10</xdr:row>
      <xdr:rowOff>95250</xdr:rowOff>
    </xdr:to>
    <xdr:cxnSp macro="">
      <xdr:nvCxnSpPr>
        <xdr:cNvPr id="4" name="Straight Arrow Connector 3"/>
        <xdr:cNvCxnSpPr/>
      </xdr:nvCxnSpPr>
      <xdr:spPr>
        <a:xfrm>
          <a:off x="2009775" y="2076450"/>
          <a:ext cx="93345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10</xdr:row>
      <xdr:rowOff>95250</xdr:rowOff>
    </xdr:from>
    <xdr:to>
      <xdr:col>5</xdr:col>
      <xdr:colOff>0</xdr:colOff>
      <xdr:row>10</xdr:row>
      <xdr:rowOff>95250</xdr:rowOff>
    </xdr:to>
    <xdr:cxnSp macro="">
      <xdr:nvCxnSpPr>
        <xdr:cNvPr id="6" name="Straight Arrow Connector 5"/>
        <xdr:cNvCxnSpPr/>
      </xdr:nvCxnSpPr>
      <xdr:spPr>
        <a:xfrm>
          <a:off x="2867025" y="3781425"/>
          <a:ext cx="81915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9525</xdr:colOff>
      <xdr:row>10</xdr:row>
      <xdr:rowOff>95250</xdr:rowOff>
    </xdr:from>
    <xdr:to>
      <xdr:col>5</xdr:col>
      <xdr:colOff>923925</xdr:colOff>
      <xdr:row>10</xdr:row>
      <xdr:rowOff>95250</xdr:rowOff>
    </xdr:to>
    <xdr:cxnSp macro="">
      <xdr:nvCxnSpPr>
        <xdr:cNvPr id="8" name="Straight Arrow Connector 7"/>
        <xdr:cNvCxnSpPr/>
      </xdr:nvCxnSpPr>
      <xdr:spPr>
        <a:xfrm>
          <a:off x="3695700" y="3781425"/>
          <a:ext cx="91440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914400</xdr:colOff>
      <xdr:row>10</xdr:row>
      <xdr:rowOff>95250</xdr:rowOff>
    </xdr:from>
    <xdr:to>
      <xdr:col>6</xdr:col>
      <xdr:colOff>600075</xdr:colOff>
      <xdr:row>10</xdr:row>
      <xdr:rowOff>95250</xdr:rowOff>
    </xdr:to>
    <xdr:cxnSp macro="">
      <xdr:nvCxnSpPr>
        <xdr:cNvPr id="9" name="Straight Arrow Connector 8"/>
        <xdr:cNvCxnSpPr/>
      </xdr:nvCxnSpPr>
      <xdr:spPr>
        <a:xfrm>
          <a:off x="4457700" y="2076450"/>
          <a:ext cx="61912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10</xdr:row>
      <xdr:rowOff>95250</xdr:rowOff>
    </xdr:from>
    <xdr:to>
      <xdr:col>8</xdr:col>
      <xdr:colOff>0</xdr:colOff>
      <xdr:row>10</xdr:row>
      <xdr:rowOff>95250</xdr:rowOff>
    </xdr:to>
    <xdr:cxnSp macro="">
      <xdr:nvCxnSpPr>
        <xdr:cNvPr id="10" name="Straight Arrow Connector 9"/>
        <xdr:cNvCxnSpPr/>
      </xdr:nvCxnSpPr>
      <xdr:spPr>
        <a:xfrm>
          <a:off x="5086350" y="2076450"/>
          <a:ext cx="93345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923925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Straight Arrow Connector 10"/>
        <xdr:cNvCxnSpPr/>
      </xdr:nvCxnSpPr>
      <xdr:spPr>
        <a:xfrm>
          <a:off x="6010275" y="2076450"/>
          <a:ext cx="61912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2" name="Straight Arrow Connector 11"/>
        <xdr:cNvCxnSpPr/>
      </xdr:nvCxnSpPr>
      <xdr:spPr>
        <a:xfrm>
          <a:off x="6629400" y="2076450"/>
          <a:ext cx="93345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923925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3" name="Straight Arrow Connector 12"/>
        <xdr:cNvCxnSpPr/>
      </xdr:nvCxnSpPr>
      <xdr:spPr>
        <a:xfrm>
          <a:off x="7553325" y="2076450"/>
          <a:ext cx="61912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2</xdr:row>
      <xdr:rowOff>9525</xdr:rowOff>
    </xdr:from>
    <xdr:to>
      <xdr:col>1</xdr:col>
      <xdr:colOff>57150</xdr:colOff>
      <xdr:row>3</xdr:row>
      <xdr:rowOff>19050</xdr:rowOff>
    </xdr:to>
    <xdr:cxnSp macro="">
      <xdr:nvCxnSpPr>
        <xdr:cNvPr id="31" name="Straight Arrow Connector 30"/>
        <xdr:cNvCxnSpPr/>
      </xdr:nvCxnSpPr>
      <xdr:spPr>
        <a:xfrm>
          <a:off x="523875" y="390525"/>
          <a:ext cx="0" cy="40957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0</xdr:rowOff>
    </xdr:from>
    <xdr:to>
      <xdr:col>1</xdr:col>
      <xdr:colOff>57150</xdr:colOff>
      <xdr:row>4</xdr:row>
      <xdr:rowOff>19050</xdr:rowOff>
    </xdr:to>
    <xdr:cxnSp macro="">
      <xdr:nvCxnSpPr>
        <xdr:cNvPr id="32" name="Straight Arrow Connector 31"/>
        <xdr:cNvCxnSpPr/>
      </xdr:nvCxnSpPr>
      <xdr:spPr>
        <a:xfrm>
          <a:off x="523875" y="781050"/>
          <a:ext cx="0" cy="36195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4</xdr:row>
      <xdr:rowOff>19050</xdr:rowOff>
    </xdr:from>
    <xdr:to>
      <xdr:col>1</xdr:col>
      <xdr:colOff>57150</xdr:colOff>
      <xdr:row>5</xdr:row>
      <xdr:rowOff>19050</xdr:rowOff>
    </xdr:to>
    <xdr:cxnSp macro="">
      <xdr:nvCxnSpPr>
        <xdr:cNvPr id="33" name="Straight Arrow Connector 32"/>
        <xdr:cNvCxnSpPr/>
      </xdr:nvCxnSpPr>
      <xdr:spPr>
        <a:xfrm>
          <a:off x="523875" y="1143000"/>
          <a:ext cx="0" cy="43815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19050</xdr:rowOff>
    </xdr:from>
    <xdr:to>
      <xdr:col>1</xdr:col>
      <xdr:colOff>57150</xdr:colOff>
      <xdr:row>6</xdr:row>
      <xdr:rowOff>19050</xdr:rowOff>
    </xdr:to>
    <xdr:cxnSp macro="">
      <xdr:nvCxnSpPr>
        <xdr:cNvPr id="34" name="Straight Arrow Connector 33"/>
        <xdr:cNvCxnSpPr/>
      </xdr:nvCxnSpPr>
      <xdr:spPr>
        <a:xfrm>
          <a:off x="523875" y="1581150"/>
          <a:ext cx="0" cy="55245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6</xdr:row>
      <xdr:rowOff>0</xdr:rowOff>
    </xdr:from>
    <xdr:to>
      <xdr:col>1</xdr:col>
      <xdr:colOff>57150</xdr:colOff>
      <xdr:row>7</xdr:row>
      <xdr:rowOff>19050</xdr:rowOff>
    </xdr:to>
    <xdr:cxnSp macro="">
      <xdr:nvCxnSpPr>
        <xdr:cNvPr id="35" name="Straight Arrow Connector 34"/>
        <xdr:cNvCxnSpPr/>
      </xdr:nvCxnSpPr>
      <xdr:spPr>
        <a:xfrm>
          <a:off x="523875" y="2114550"/>
          <a:ext cx="0" cy="45720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7</xdr:row>
      <xdr:rowOff>9525</xdr:rowOff>
    </xdr:from>
    <xdr:to>
      <xdr:col>1</xdr:col>
      <xdr:colOff>57150</xdr:colOff>
      <xdr:row>8</xdr:row>
      <xdr:rowOff>38100</xdr:rowOff>
    </xdr:to>
    <xdr:cxnSp macro="">
      <xdr:nvCxnSpPr>
        <xdr:cNvPr id="36" name="Straight Arrow Connector 35"/>
        <xdr:cNvCxnSpPr/>
      </xdr:nvCxnSpPr>
      <xdr:spPr>
        <a:xfrm>
          <a:off x="523875" y="2562225"/>
          <a:ext cx="0" cy="45720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8</xdr:row>
      <xdr:rowOff>38100</xdr:rowOff>
    </xdr:from>
    <xdr:to>
      <xdr:col>1</xdr:col>
      <xdr:colOff>57150</xdr:colOff>
      <xdr:row>9</xdr:row>
      <xdr:rowOff>9525</xdr:rowOff>
    </xdr:to>
    <xdr:cxnSp macro="">
      <xdr:nvCxnSpPr>
        <xdr:cNvPr id="37" name="Straight Arrow Connector 36"/>
        <xdr:cNvCxnSpPr/>
      </xdr:nvCxnSpPr>
      <xdr:spPr>
        <a:xfrm>
          <a:off x="523875" y="3019425"/>
          <a:ext cx="0" cy="36195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9</xdr:row>
      <xdr:rowOff>0</xdr:rowOff>
    </xdr:from>
    <xdr:to>
      <xdr:col>1</xdr:col>
      <xdr:colOff>57150</xdr:colOff>
      <xdr:row>10</xdr:row>
      <xdr:rowOff>9525</xdr:rowOff>
    </xdr:to>
    <xdr:cxnSp macro="">
      <xdr:nvCxnSpPr>
        <xdr:cNvPr id="38" name="Straight Arrow Connector 37"/>
        <xdr:cNvCxnSpPr/>
      </xdr:nvCxnSpPr>
      <xdr:spPr>
        <a:xfrm>
          <a:off x="523875" y="3371850"/>
          <a:ext cx="0" cy="32385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95250</xdr:colOff>
      <xdr:row>4</xdr:row>
      <xdr:rowOff>9525</xdr:rowOff>
    </xdr:from>
    <xdr:to>
      <xdr:col>4</xdr:col>
      <xdr:colOff>95250</xdr:colOff>
      <xdr:row>4</xdr:row>
      <xdr:rowOff>428625</xdr:rowOff>
    </xdr:to>
    <xdr:cxnSp macro="">
      <xdr:nvCxnSpPr>
        <xdr:cNvPr id="39" name="Straight Arrow Connector 38"/>
        <xdr:cNvCxnSpPr/>
      </xdr:nvCxnSpPr>
      <xdr:spPr>
        <a:xfrm>
          <a:off x="2962275" y="1133475"/>
          <a:ext cx="0" cy="41910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95250</xdr:colOff>
      <xdr:row>4</xdr:row>
      <xdr:rowOff>428625</xdr:rowOff>
    </xdr:from>
    <xdr:to>
      <xdr:col>4</xdr:col>
      <xdr:colOff>95250</xdr:colOff>
      <xdr:row>5</xdr:row>
      <xdr:rowOff>542925</xdr:rowOff>
    </xdr:to>
    <xdr:cxnSp macro="">
      <xdr:nvCxnSpPr>
        <xdr:cNvPr id="41" name="Straight Arrow Connector 40"/>
        <xdr:cNvCxnSpPr/>
      </xdr:nvCxnSpPr>
      <xdr:spPr>
        <a:xfrm>
          <a:off x="2962275" y="1552575"/>
          <a:ext cx="0" cy="55245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12</xdr:row>
      <xdr:rowOff>123825</xdr:rowOff>
    </xdr:from>
    <xdr:to>
      <xdr:col>11</xdr:col>
      <xdr:colOff>0</xdr:colOff>
      <xdr:row>12</xdr:row>
      <xdr:rowOff>123825</xdr:rowOff>
    </xdr:to>
    <xdr:cxnSp macro="">
      <xdr:nvCxnSpPr>
        <xdr:cNvPr id="44" name="Straight Arrow Connector 43"/>
        <xdr:cNvCxnSpPr/>
      </xdr:nvCxnSpPr>
      <xdr:spPr>
        <a:xfrm>
          <a:off x="600075" y="4171950"/>
          <a:ext cx="750570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171450</xdr:colOff>
      <xdr:row>1</xdr:row>
      <xdr:rowOff>171450</xdr:rowOff>
    </xdr:from>
    <xdr:to>
      <xdr:col>11</xdr:col>
      <xdr:colOff>171450</xdr:colOff>
      <xdr:row>10</xdr:row>
      <xdr:rowOff>0</xdr:rowOff>
    </xdr:to>
    <xdr:cxnSp macro="">
      <xdr:nvCxnSpPr>
        <xdr:cNvPr id="47" name="Straight Arrow Connector 46"/>
        <xdr:cNvCxnSpPr/>
      </xdr:nvCxnSpPr>
      <xdr:spPr>
        <a:xfrm>
          <a:off x="8277225" y="361950"/>
          <a:ext cx="0" cy="332422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.emf"/><Relationship Id="rId18" Type="http://schemas.openxmlformats.org/officeDocument/2006/relationships/control" Target="../activeX/activeX9.xml"/><Relationship Id="rId26" Type="http://schemas.openxmlformats.org/officeDocument/2006/relationships/control" Target="../activeX/activeX13.xml"/><Relationship Id="rId39" Type="http://schemas.openxmlformats.org/officeDocument/2006/relationships/control" Target="../activeX/activeX21.xml"/><Relationship Id="rId21" Type="http://schemas.openxmlformats.org/officeDocument/2006/relationships/image" Target="../media/image8.emf"/><Relationship Id="rId34" Type="http://schemas.openxmlformats.org/officeDocument/2006/relationships/control" Target="../activeX/activeX17.xml"/><Relationship Id="rId42" Type="http://schemas.openxmlformats.org/officeDocument/2006/relationships/control" Target="../activeX/activeX24.xml"/><Relationship Id="rId47" Type="http://schemas.openxmlformats.org/officeDocument/2006/relationships/control" Target="../activeX/activeX29.xml"/><Relationship Id="rId50" Type="http://schemas.openxmlformats.org/officeDocument/2006/relationships/control" Target="../activeX/activeX32.xml"/><Relationship Id="rId55" Type="http://schemas.openxmlformats.org/officeDocument/2006/relationships/control" Target="../activeX/activeX37.xml"/><Relationship Id="rId63" Type="http://schemas.openxmlformats.org/officeDocument/2006/relationships/image" Target="../media/image17.emf"/><Relationship Id="rId68" Type="http://schemas.openxmlformats.org/officeDocument/2006/relationships/control" Target="../activeX/activeX46.xml"/><Relationship Id="rId76" Type="http://schemas.openxmlformats.org/officeDocument/2006/relationships/control" Target="../activeX/activeX50.xml"/><Relationship Id="rId7" Type="http://schemas.openxmlformats.org/officeDocument/2006/relationships/image" Target="../media/image2.emf"/><Relationship Id="rId71" Type="http://schemas.openxmlformats.org/officeDocument/2006/relationships/image" Target="../media/image2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8.xml"/><Relationship Id="rId29" Type="http://schemas.openxmlformats.org/officeDocument/2006/relationships/image" Target="../media/image12.emf"/><Relationship Id="rId11" Type="http://schemas.openxmlformats.org/officeDocument/2006/relationships/control" Target="../activeX/activeX5.xml"/><Relationship Id="rId24" Type="http://schemas.openxmlformats.org/officeDocument/2006/relationships/control" Target="../activeX/activeX12.xml"/><Relationship Id="rId32" Type="http://schemas.openxmlformats.org/officeDocument/2006/relationships/control" Target="../activeX/activeX16.xml"/><Relationship Id="rId37" Type="http://schemas.openxmlformats.org/officeDocument/2006/relationships/control" Target="../activeX/activeX19.xml"/><Relationship Id="rId40" Type="http://schemas.openxmlformats.org/officeDocument/2006/relationships/control" Target="../activeX/activeX22.xml"/><Relationship Id="rId45" Type="http://schemas.openxmlformats.org/officeDocument/2006/relationships/control" Target="../activeX/activeX27.xml"/><Relationship Id="rId53" Type="http://schemas.openxmlformats.org/officeDocument/2006/relationships/control" Target="../activeX/activeX35.xml"/><Relationship Id="rId58" Type="http://schemas.openxmlformats.org/officeDocument/2006/relationships/control" Target="../activeX/activeX40.xml"/><Relationship Id="rId66" Type="http://schemas.openxmlformats.org/officeDocument/2006/relationships/control" Target="../activeX/activeX45.xml"/><Relationship Id="rId74" Type="http://schemas.openxmlformats.org/officeDocument/2006/relationships/control" Target="../activeX/activeX49.xml"/><Relationship Id="rId5" Type="http://schemas.openxmlformats.org/officeDocument/2006/relationships/image" Target="../media/image1.emf"/><Relationship Id="rId15" Type="http://schemas.openxmlformats.org/officeDocument/2006/relationships/image" Target="../media/image5.emf"/><Relationship Id="rId23" Type="http://schemas.openxmlformats.org/officeDocument/2006/relationships/image" Target="../media/image9.emf"/><Relationship Id="rId28" Type="http://schemas.openxmlformats.org/officeDocument/2006/relationships/control" Target="../activeX/activeX14.xml"/><Relationship Id="rId36" Type="http://schemas.openxmlformats.org/officeDocument/2006/relationships/control" Target="../activeX/activeX18.xml"/><Relationship Id="rId49" Type="http://schemas.openxmlformats.org/officeDocument/2006/relationships/control" Target="../activeX/activeX31.xml"/><Relationship Id="rId57" Type="http://schemas.openxmlformats.org/officeDocument/2006/relationships/control" Target="../activeX/activeX39.xml"/><Relationship Id="rId61" Type="http://schemas.openxmlformats.org/officeDocument/2006/relationships/image" Target="../media/image16.emf"/><Relationship Id="rId10" Type="http://schemas.openxmlformats.org/officeDocument/2006/relationships/control" Target="../activeX/activeX4.xml"/><Relationship Id="rId19" Type="http://schemas.openxmlformats.org/officeDocument/2006/relationships/image" Target="../media/image7.emf"/><Relationship Id="rId31" Type="http://schemas.openxmlformats.org/officeDocument/2006/relationships/image" Target="../media/image13.emf"/><Relationship Id="rId44" Type="http://schemas.openxmlformats.org/officeDocument/2006/relationships/control" Target="../activeX/activeX26.xml"/><Relationship Id="rId52" Type="http://schemas.openxmlformats.org/officeDocument/2006/relationships/control" Target="../activeX/activeX34.xml"/><Relationship Id="rId60" Type="http://schemas.openxmlformats.org/officeDocument/2006/relationships/control" Target="../activeX/activeX42.xml"/><Relationship Id="rId65" Type="http://schemas.openxmlformats.org/officeDocument/2006/relationships/image" Target="../media/image18.emf"/><Relationship Id="rId73" Type="http://schemas.openxmlformats.org/officeDocument/2006/relationships/image" Target="../media/image22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Relationship Id="rId27" Type="http://schemas.openxmlformats.org/officeDocument/2006/relationships/image" Target="../media/image11.emf"/><Relationship Id="rId30" Type="http://schemas.openxmlformats.org/officeDocument/2006/relationships/control" Target="../activeX/activeX15.xml"/><Relationship Id="rId35" Type="http://schemas.openxmlformats.org/officeDocument/2006/relationships/image" Target="../media/image15.emf"/><Relationship Id="rId43" Type="http://schemas.openxmlformats.org/officeDocument/2006/relationships/control" Target="../activeX/activeX25.xml"/><Relationship Id="rId48" Type="http://schemas.openxmlformats.org/officeDocument/2006/relationships/control" Target="../activeX/activeX30.xml"/><Relationship Id="rId56" Type="http://schemas.openxmlformats.org/officeDocument/2006/relationships/control" Target="../activeX/activeX38.xml"/><Relationship Id="rId64" Type="http://schemas.openxmlformats.org/officeDocument/2006/relationships/control" Target="../activeX/activeX44.xml"/><Relationship Id="rId69" Type="http://schemas.openxmlformats.org/officeDocument/2006/relationships/image" Target="../media/image20.emf"/><Relationship Id="rId77" Type="http://schemas.openxmlformats.org/officeDocument/2006/relationships/control" Target="../activeX/activeX51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33.xml"/><Relationship Id="rId72" Type="http://schemas.openxmlformats.org/officeDocument/2006/relationships/control" Target="../activeX/activeX48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6.xml"/><Relationship Id="rId17" Type="http://schemas.openxmlformats.org/officeDocument/2006/relationships/image" Target="../media/image6.emf"/><Relationship Id="rId25" Type="http://schemas.openxmlformats.org/officeDocument/2006/relationships/image" Target="../media/image10.emf"/><Relationship Id="rId33" Type="http://schemas.openxmlformats.org/officeDocument/2006/relationships/image" Target="../media/image14.emf"/><Relationship Id="rId38" Type="http://schemas.openxmlformats.org/officeDocument/2006/relationships/control" Target="../activeX/activeX20.xml"/><Relationship Id="rId46" Type="http://schemas.openxmlformats.org/officeDocument/2006/relationships/control" Target="../activeX/activeX28.xml"/><Relationship Id="rId59" Type="http://schemas.openxmlformats.org/officeDocument/2006/relationships/control" Target="../activeX/activeX41.xml"/><Relationship Id="rId67" Type="http://schemas.openxmlformats.org/officeDocument/2006/relationships/image" Target="../media/image19.emf"/><Relationship Id="rId20" Type="http://schemas.openxmlformats.org/officeDocument/2006/relationships/control" Target="../activeX/activeX10.xml"/><Relationship Id="rId41" Type="http://schemas.openxmlformats.org/officeDocument/2006/relationships/control" Target="../activeX/activeX23.xml"/><Relationship Id="rId54" Type="http://schemas.openxmlformats.org/officeDocument/2006/relationships/control" Target="../activeX/activeX36.xml"/><Relationship Id="rId62" Type="http://schemas.openxmlformats.org/officeDocument/2006/relationships/control" Target="../activeX/activeX43.xml"/><Relationship Id="rId70" Type="http://schemas.openxmlformats.org/officeDocument/2006/relationships/control" Target="../activeX/activeX47.xml"/><Relationship Id="rId75" Type="http://schemas.openxmlformats.org/officeDocument/2006/relationships/image" Target="../media/image2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I42"/>
  <sheetViews>
    <sheetView tabSelected="1" workbookViewId="0">
      <selection activeCell="H10" sqref="H10:I11"/>
    </sheetView>
  </sheetViews>
  <sheetFormatPr defaultRowHeight="15" x14ac:dyDescent="0.25"/>
  <cols>
    <col min="1" max="1" width="31.42578125" customWidth="1"/>
    <col min="2" max="2" width="22.7109375" customWidth="1"/>
    <col min="3" max="3" width="13.5703125" customWidth="1"/>
    <col min="4" max="4" width="22.7109375" customWidth="1"/>
    <col min="5" max="5" width="13.5703125" customWidth="1"/>
    <col min="6" max="6" width="22.7109375" customWidth="1"/>
    <col min="7" max="7" width="13.5703125" customWidth="1"/>
    <col min="8" max="8" width="22.7109375" customWidth="1"/>
    <col min="9" max="9" width="13.5703125" customWidth="1"/>
  </cols>
  <sheetData>
    <row r="1" spans="1:9" ht="38.25" customHeight="1" x14ac:dyDescent="0.25">
      <c r="A1" s="33" t="s">
        <v>9</v>
      </c>
      <c r="B1" s="33"/>
      <c r="C1" s="33"/>
      <c r="D1" s="33"/>
      <c r="E1" s="33"/>
      <c r="F1" s="33"/>
      <c r="G1" s="33"/>
      <c r="H1" s="33"/>
      <c r="I1" s="33"/>
    </row>
    <row r="2" spans="1:9" ht="19.5" customHeight="1" x14ac:dyDescent="0.25">
      <c r="A2" s="1" t="s">
        <v>0</v>
      </c>
      <c r="B2" s="1" t="s">
        <v>6</v>
      </c>
      <c r="C2" s="1"/>
      <c r="D2" s="1" t="s">
        <v>7</v>
      </c>
      <c r="E2" s="1"/>
      <c r="F2" s="1" t="s">
        <v>8</v>
      </c>
      <c r="G2" s="1"/>
      <c r="H2" s="1" t="s">
        <v>10</v>
      </c>
      <c r="I2" s="1"/>
    </row>
    <row r="3" spans="1:9" ht="45" customHeight="1" x14ac:dyDescent="0.25">
      <c r="A3" s="34" t="s">
        <v>1</v>
      </c>
      <c r="B3" s="27" t="s">
        <v>2</v>
      </c>
      <c r="C3" s="27"/>
      <c r="D3" s="27" t="s">
        <v>2</v>
      </c>
      <c r="E3" s="27"/>
      <c r="F3" s="27" t="s">
        <v>2</v>
      </c>
      <c r="G3" s="27"/>
      <c r="H3" s="27" t="s">
        <v>2</v>
      </c>
      <c r="I3" s="27"/>
    </row>
    <row r="4" spans="1:9" ht="60.75" customHeight="1" x14ac:dyDescent="0.25">
      <c r="A4" s="34"/>
      <c r="B4" s="27" t="s">
        <v>3</v>
      </c>
      <c r="C4" s="27"/>
      <c r="D4" s="27" t="s">
        <v>3</v>
      </c>
      <c r="E4" s="27"/>
      <c r="F4" s="27" t="s">
        <v>3</v>
      </c>
      <c r="G4" s="27"/>
      <c r="H4" s="27" t="s">
        <v>3</v>
      </c>
      <c r="I4" s="27"/>
    </row>
    <row r="5" spans="1:9" ht="45" customHeight="1" x14ac:dyDescent="0.25">
      <c r="A5" s="34" t="s">
        <v>4</v>
      </c>
      <c r="B5" s="27" t="s">
        <v>2</v>
      </c>
      <c r="C5" s="27"/>
      <c r="D5" s="27" t="s">
        <v>2</v>
      </c>
      <c r="E5" s="27"/>
      <c r="F5" s="27" t="s">
        <v>2</v>
      </c>
      <c r="G5" s="27"/>
      <c r="H5" s="27" t="s">
        <v>2</v>
      </c>
      <c r="I5" s="27"/>
    </row>
    <row r="6" spans="1:9" ht="60.75" customHeight="1" x14ac:dyDescent="0.25">
      <c r="A6" s="34"/>
      <c r="B6" s="27" t="s">
        <v>3</v>
      </c>
      <c r="C6" s="27"/>
      <c r="D6" s="27" t="s">
        <v>3</v>
      </c>
      <c r="E6" s="27"/>
      <c r="F6" s="27" t="s">
        <v>3</v>
      </c>
      <c r="G6" s="27"/>
      <c r="H6" s="27" t="s">
        <v>3</v>
      </c>
      <c r="I6" s="27"/>
    </row>
    <row r="7" spans="1:9" ht="15.75" x14ac:dyDescent="0.25">
      <c r="A7" s="1" t="s">
        <v>5</v>
      </c>
      <c r="B7" s="1" t="s">
        <v>2</v>
      </c>
      <c r="C7" s="1"/>
      <c r="D7" s="1" t="s">
        <v>2</v>
      </c>
      <c r="E7" s="1"/>
      <c r="F7" s="1" t="s">
        <v>2</v>
      </c>
      <c r="G7" s="1"/>
      <c r="H7" s="1" t="s">
        <v>2</v>
      </c>
      <c r="I7" s="1"/>
    </row>
    <row r="8" spans="1:9" ht="15.75" x14ac:dyDescent="0.25">
      <c r="A8" s="1" t="s">
        <v>5</v>
      </c>
      <c r="B8" s="1" t="s">
        <v>3</v>
      </c>
      <c r="C8" s="1"/>
      <c r="D8" s="1" t="s">
        <v>3</v>
      </c>
      <c r="E8" s="1"/>
      <c r="F8" s="1" t="s">
        <v>3</v>
      </c>
      <c r="G8" s="1"/>
      <c r="H8" s="1" t="s">
        <v>3</v>
      </c>
      <c r="I8" s="1"/>
    </row>
    <row r="9" spans="1:9" ht="11.25" customHeight="1" thickBot="1" x14ac:dyDescent="0.3">
      <c r="A9" s="12"/>
      <c r="B9" s="12"/>
      <c r="C9" s="12"/>
      <c r="D9" s="12"/>
      <c r="E9" s="12"/>
      <c r="F9" s="12"/>
      <c r="G9" s="12"/>
      <c r="H9" s="12"/>
      <c r="I9" s="12"/>
    </row>
    <row r="10" spans="1:9" x14ac:dyDescent="0.25">
      <c r="A10" s="2"/>
      <c r="B10" s="3"/>
      <c r="C10" s="6"/>
      <c r="D10" s="2"/>
      <c r="E10" s="3"/>
      <c r="F10" s="3"/>
      <c r="G10" s="3"/>
      <c r="H10" s="28" t="s">
        <v>11</v>
      </c>
      <c r="I10" s="29"/>
    </row>
    <row r="11" spans="1:9" ht="18.75" customHeight="1" thickBot="1" x14ac:dyDescent="0.3">
      <c r="A11" s="7"/>
      <c r="B11" s="8"/>
      <c r="C11" s="9"/>
      <c r="D11" s="4"/>
      <c r="E11" s="5"/>
      <c r="F11" s="5"/>
      <c r="G11" s="5"/>
      <c r="H11" s="30"/>
      <c r="I11" s="31"/>
    </row>
    <row r="12" spans="1:9" x14ac:dyDescent="0.25">
      <c r="A12" s="7"/>
      <c r="B12" s="8"/>
      <c r="C12" s="9"/>
      <c r="D12" s="2"/>
      <c r="E12" s="3"/>
      <c r="F12" s="3"/>
      <c r="G12" s="3"/>
      <c r="H12" s="28" t="s">
        <v>12</v>
      </c>
      <c r="I12" s="29"/>
    </row>
    <row r="13" spans="1:9" ht="18.75" customHeight="1" thickBot="1" x14ac:dyDescent="0.3">
      <c r="A13" s="7"/>
      <c r="B13" s="8"/>
      <c r="C13" s="9"/>
      <c r="D13" s="4"/>
      <c r="E13" s="5"/>
      <c r="F13" s="5"/>
      <c r="G13" s="5"/>
      <c r="H13" s="30"/>
      <c r="I13" s="31"/>
    </row>
    <row r="14" spans="1:9" x14ac:dyDescent="0.25">
      <c r="A14" s="7"/>
      <c r="B14" s="8"/>
      <c r="C14" s="9"/>
      <c r="D14" s="2"/>
      <c r="E14" s="3"/>
      <c r="F14" s="3"/>
      <c r="G14" s="3"/>
      <c r="H14" s="28" t="s">
        <v>13</v>
      </c>
      <c r="I14" s="29"/>
    </row>
    <row r="15" spans="1:9" ht="17.25" customHeight="1" thickBot="1" x14ac:dyDescent="0.3">
      <c r="A15" s="4"/>
      <c r="B15" s="5"/>
      <c r="C15" s="10"/>
      <c r="D15" s="4"/>
      <c r="E15" s="5"/>
      <c r="F15" s="5"/>
      <c r="G15" s="5"/>
      <c r="H15" s="30"/>
      <c r="I15" s="31"/>
    </row>
    <row r="18" spans="7:8" ht="15.75" thickBot="1" x14ac:dyDescent="0.3"/>
    <row r="19" spans="7:8" ht="15.75" thickBot="1" x14ac:dyDescent="0.3">
      <c r="G19" t="s">
        <v>19</v>
      </c>
      <c r="H19" s="26">
        <v>4</v>
      </c>
    </row>
    <row r="20" spans="7:8" ht="15.75" thickBot="1" x14ac:dyDescent="0.3">
      <c r="G20" t="s">
        <v>41</v>
      </c>
      <c r="H20" s="26">
        <v>2</v>
      </c>
    </row>
    <row r="25" spans="7:8" ht="15.75" thickBot="1" x14ac:dyDescent="0.3">
      <c r="G25" s="18" t="s">
        <v>15</v>
      </c>
    </row>
    <row r="26" spans="7:8" ht="15.75" thickBot="1" x14ac:dyDescent="0.3">
      <c r="G26" s="25">
        <v>7</v>
      </c>
    </row>
    <row r="27" spans="7:8" x14ac:dyDescent="0.25">
      <c r="G27" s="18" t="s">
        <v>42</v>
      </c>
    </row>
    <row r="40" spans="2:3" ht="15.75" thickBot="1" x14ac:dyDescent="0.3"/>
    <row r="41" spans="2:3" ht="15.75" thickBot="1" x14ac:dyDescent="0.3">
      <c r="B41" s="17" t="s">
        <v>14</v>
      </c>
      <c r="C41" s="25">
        <v>24.1</v>
      </c>
    </row>
    <row r="42" spans="2:3" x14ac:dyDescent="0.25">
      <c r="C42" s="18" t="s">
        <v>42</v>
      </c>
    </row>
  </sheetData>
  <mergeCells count="6">
    <mergeCell ref="H14:I15"/>
    <mergeCell ref="A1:I1"/>
    <mergeCell ref="A3:A4"/>
    <mergeCell ref="A5:A6"/>
    <mergeCell ref="H10:I11"/>
    <mergeCell ref="H12:I13"/>
  </mergeCells>
  <pageMargins left="0.7" right="0.7" top="1.3149999999999999" bottom="0.75" header="0.3" footer="0.3"/>
  <pageSetup paperSize="9" scale="55"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91" r:id="rId4" name="DarkBorder">
          <controlPr defaultSize="0" autoLine="0" r:id="rId5">
            <anchor moveWithCells="1">
              <from>
                <xdr:col>7</xdr:col>
                <xdr:colOff>1466850</xdr:colOff>
                <xdr:row>13</xdr:row>
                <xdr:rowOff>95250</xdr:rowOff>
              </from>
              <to>
                <xdr:col>8</xdr:col>
                <xdr:colOff>885825</xdr:colOff>
                <xdr:row>14</xdr:row>
                <xdr:rowOff>152400</xdr:rowOff>
              </to>
            </anchor>
          </controlPr>
        </control>
      </mc:Choice>
      <mc:Fallback>
        <control shapeId="1091" r:id="rId4" name="DarkBorder"/>
      </mc:Fallback>
    </mc:AlternateContent>
    <mc:AlternateContent xmlns:mc="http://schemas.openxmlformats.org/markup-compatibility/2006">
      <mc:Choice Requires="x14">
        <control shapeId="1090" r:id="rId6" name="ResetT">
          <controlPr defaultSize="0" autoLine="0" r:id="rId7">
            <anchor moveWithCells="1">
              <from>
                <xdr:col>1</xdr:col>
                <xdr:colOff>1143000</xdr:colOff>
                <xdr:row>12</xdr:row>
                <xdr:rowOff>228600</xdr:rowOff>
              </from>
              <to>
                <xdr:col>2</xdr:col>
                <xdr:colOff>504825</xdr:colOff>
                <xdr:row>14</xdr:row>
                <xdr:rowOff>180975</xdr:rowOff>
              </to>
            </anchor>
          </controlPr>
        </control>
      </mc:Choice>
      <mc:Fallback>
        <control shapeId="1090" r:id="rId6" name="ResetT"/>
      </mc:Fallback>
    </mc:AlternateContent>
    <mc:AlternateContent xmlns:mc="http://schemas.openxmlformats.org/markup-compatibility/2006">
      <mc:Choice Requires="x14">
        <control shapeId="1089" r:id="rId8" name="t13">
          <controlPr defaultSize="0" autoLine="0" r:id="rId9">
            <anchor moveWithCells="1">
              <from>
                <xdr:col>7</xdr:col>
                <xdr:colOff>304800</xdr:colOff>
                <xdr:row>13</xdr:row>
                <xdr:rowOff>57150</xdr:rowOff>
              </from>
              <to>
                <xdr:col>7</xdr:col>
                <xdr:colOff>628650</xdr:colOff>
                <xdr:row>14</xdr:row>
                <xdr:rowOff>152400</xdr:rowOff>
              </to>
            </anchor>
          </controlPr>
        </control>
      </mc:Choice>
      <mc:Fallback>
        <control shapeId="1089" r:id="rId8" name="t13"/>
      </mc:Fallback>
    </mc:AlternateContent>
    <mc:AlternateContent xmlns:mc="http://schemas.openxmlformats.org/markup-compatibility/2006">
      <mc:Choice Requires="x14">
        <control shapeId="1088" r:id="rId10" name="c13">
          <controlPr defaultSize="0" autoLine="0" r:id="rId9">
            <anchor moveWithCells="1">
              <from>
                <xdr:col>7</xdr:col>
                <xdr:colOff>304800</xdr:colOff>
                <xdr:row>11</xdr:row>
                <xdr:rowOff>85725</xdr:rowOff>
              </from>
              <to>
                <xdr:col>7</xdr:col>
                <xdr:colOff>628650</xdr:colOff>
                <xdr:row>12</xdr:row>
                <xdr:rowOff>180975</xdr:rowOff>
              </to>
            </anchor>
          </controlPr>
        </control>
      </mc:Choice>
      <mc:Fallback>
        <control shapeId="1088" r:id="rId10" name="c13"/>
      </mc:Fallback>
    </mc:AlternateContent>
    <mc:AlternateContent xmlns:mc="http://schemas.openxmlformats.org/markup-compatibility/2006">
      <mc:Choice Requires="x14">
        <control shapeId="1087" r:id="rId11" name="b13">
          <controlPr defaultSize="0" autoLine="0" r:id="rId9">
            <anchor moveWithCells="1">
              <from>
                <xdr:col>7</xdr:col>
                <xdr:colOff>304800</xdr:colOff>
                <xdr:row>9</xdr:row>
                <xdr:rowOff>85725</xdr:rowOff>
              </from>
              <to>
                <xdr:col>7</xdr:col>
                <xdr:colOff>628650</xdr:colOff>
                <xdr:row>10</xdr:row>
                <xdr:rowOff>180975</xdr:rowOff>
              </to>
            </anchor>
          </controlPr>
        </control>
      </mc:Choice>
      <mc:Fallback>
        <control shapeId="1087" r:id="rId11" name="b13"/>
      </mc:Fallback>
    </mc:AlternateContent>
    <mc:AlternateContent xmlns:mc="http://schemas.openxmlformats.org/markup-compatibility/2006">
      <mc:Choice Requires="x14">
        <control shapeId="1086" r:id="rId12" name="t10">
          <controlPr defaultSize="0" autoLine="0" r:id="rId13">
            <anchor moveWithCells="1">
              <from>
                <xdr:col>5</xdr:col>
                <xdr:colOff>1447800</xdr:colOff>
                <xdr:row>13</xdr:row>
                <xdr:rowOff>57150</xdr:rowOff>
              </from>
              <to>
                <xdr:col>6</xdr:col>
                <xdr:colOff>257175</xdr:colOff>
                <xdr:row>14</xdr:row>
                <xdr:rowOff>152400</xdr:rowOff>
              </to>
            </anchor>
          </controlPr>
        </control>
      </mc:Choice>
      <mc:Fallback>
        <control shapeId="1086" r:id="rId12" name="t10"/>
      </mc:Fallback>
    </mc:AlternateContent>
    <mc:AlternateContent xmlns:mc="http://schemas.openxmlformats.org/markup-compatibility/2006">
      <mc:Choice Requires="x14">
        <control shapeId="1085" r:id="rId14" name="t9">
          <controlPr defaultSize="0" autoLine="0" r:id="rId15">
            <anchor moveWithCells="1">
              <from>
                <xdr:col>5</xdr:col>
                <xdr:colOff>1019175</xdr:colOff>
                <xdr:row>13</xdr:row>
                <xdr:rowOff>57150</xdr:rowOff>
              </from>
              <to>
                <xdr:col>5</xdr:col>
                <xdr:colOff>1343025</xdr:colOff>
                <xdr:row>14</xdr:row>
                <xdr:rowOff>152400</xdr:rowOff>
              </to>
            </anchor>
          </controlPr>
        </control>
      </mc:Choice>
      <mc:Fallback>
        <control shapeId="1085" r:id="rId14" name="t9"/>
      </mc:Fallback>
    </mc:AlternateContent>
    <mc:AlternateContent xmlns:mc="http://schemas.openxmlformats.org/markup-compatibility/2006">
      <mc:Choice Requires="x14">
        <control shapeId="1084" r:id="rId16" name="t11">
          <controlPr defaultSize="0" autoLine="0" r:id="rId17">
            <anchor moveWithCells="1">
              <from>
                <xdr:col>6</xdr:col>
                <xdr:colOff>361950</xdr:colOff>
                <xdr:row>13</xdr:row>
                <xdr:rowOff>57150</xdr:rowOff>
              </from>
              <to>
                <xdr:col>6</xdr:col>
                <xdr:colOff>685800</xdr:colOff>
                <xdr:row>14</xdr:row>
                <xdr:rowOff>152400</xdr:rowOff>
              </to>
            </anchor>
          </controlPr>
        </control>
      </mc:Choice>
      <mc:Fallback>
        <control shapeId="1084" r:id="rId16" name="t11"/>
      </mc:Fallback>
    </mc:AlternateContent>
    <mc:AlternateContent xmlns:mc="http://schemas.openxmlformats.org/markup-compatibility/2006">
      <mc:Choice Requires="x14">
        <control shapeId="1083" r:id="rId18" name="t8">
          <controlPr defaultSize="0" autoLine="0" r:id="rId19">
            <anchor moveWithCells="1">
              <from>
                <xdr:col>5</xdr:col>
                <xdr:colOff>600075</xdr:colOff>
                <xdr:row>13</xdr:row>
                <xdr:rowOff>57150</xdr:rowOff>
              </from>
              <to>
                <xdr:col>5</xdr:col>
                <xdr:colOff>923925</xdr:colOff>
                <xdr:row>14</xdr:row>
                <xdr:rowOff>152400</xdr:rowOff>
              </to>
            </anchor>
          </controlPr>
        </control>
      </mc:Choice>
      <mc:Fallback>
        <control shapeId="1083" r:id="rId18" name="t8"/>
      </mc:Fallback>
    </mc:AlternateContent>
    <mc:AlternateContent xmlns:mc="http://schemas.openxmlformats.org/markup-compatibility/2006">
      <mc:Choice Requires="x14">
        <control shapeId="1082" r:id="rId20" name="t7">
          <controlPr defaultSize="0" autoLine="0" r:id="rId21">
            <anchor moveWithCells="1">
              <from>
                <xdr:col>5</xdr:col>
                <xdr:colOff>171450</xdr:colOff>
                <xdr:row>13</xdr:row>
                <xdr:rowOff>57150</xdr:rowOff>
              </from>
              <to>
                <xdr:col>5</xdr:col>
                <xdr:colOff>495300</xdr:colOff>
                <xdr:row>14</xdr:row>
                <xdr:rowOff>152400</xdr:rowOff>
              </to>
            </anchor>
          </controlPr>
        </control>
      </mc:Choice>
      <mc:Fallback>
        <control shapeId="1082" r:id="rId20" name="t7"/>
      </mc:Fallback>
    </mc:AlternateContent>
    <mc:AlternateContent xmlns:mc="http://schemas.openxmlformats.org/markup-compatibility/2006">
      <mc:Choice Requires="x14">
        <control shapeId="1081" r:id="rId22" name="t6">
          <controlPr defaultSize="0" autoLine="0" r:id="rId23">
            <anchor moveWithCells="1">
              <from>
                <xdr:col>4</xdr:col>
                <xdr:colOff>647700</xdr:colOff>
                <xdr:row>13</xdr:row>
                <xdr:rowOff>57150</xdr:rowOff>
              </from>
              <to>
                <xdr:col>5</xdr:col>
                <xdr:colOff>66675</xdr:colOff>
                <xdr:row>14</xdr:row>
                <xdr:rowOff>152400</xdr:rowOff>
              </to>
            </anchor>
          </controlPr>
        </control>
      </mc:Choice>
      <mc:Fallback>
        <control shapeId="1081" r:id="rId22" name="t6"/>
      </mc:Fallback>
    </mc:AlternateContent>
    <mc:AlternateContent xmlns:mc="http://schemas.openxmlformats.org/markup-compatibility/2006">
      <mc:Choice Requires="x14">
        <control shapeId="1080" r:id="rId24" name="t2">
          <controlPr defaultSize="0" autoLine="0" r:id="rId25">
            <anchor moveWithCells="1">
              <from>
                <xdr:col>3</xdr:col>
                <xdr:colOff>466725</xdr:colOff>
                <xdr:row>13</xdr:row>
                <xdr:rowOff>57150</xdr:rowOff>
              </from>
              <to>
                <xdr:col>3</xdr:col>
                <xdr:colOff>790575</xdr:colOff>
                <xdr:row>14</xdr:row>
                <xdr:rowOff>152400</xdr:rowOff>
              </to>
            </anchor>
          </controlPr>
        </control>
      </mc:Choice>
      <mc:Fallback>
        <control shapeId="1080" r:id="rId24" name="t2"/>
      </mc:Fallback>
    </mc:AlternateContent>
    <mc:AlternateContent xmlns:mc="http://schemas.openxmlformats.org/markup-compatibility/2006">
      <mc:Choice Requires="x14">
        <control shapeId="1079" r:id="rId26" name="t12">
          <controlPr defaultSize="0" autoLine="0" r:id="rId27">
            <anchor moveWithCells="1">
              <from>
                <xdr:col>6</xdr:col>
                <xdr:colOff>781050</xdr:colOff>
                <xdr:row>13</xdr:row>
                <xdr:rowOff>57150</xdr:rowOff>
              </from>
              <to>
                <xdr:col>7</xdr:col>
                <xdr:colOff>200025</xdr:colOff>
                <xdr:row>14</xdr:row>
                <xdr:rowOff>152400</xdr:rowOff>
              </to>
            </anchor>
          </controlPr>
        </control>
      </mc:Choice>
      <mc:Fallback>
        <control shapeId="1079" r:id="rId26" name="t12"/>
      </mc:Fallback>
    </mc:AlternateContent>
    <mc:AlternateContent xmlns:mc="http://schemas.openxmlformats.org/markup-compatibility/2006">
      <mc:Choice Requires="x14">
        <control shapeId="1078" r:id="rId28" name="t3">
          <controlPr defaultSize="0" autoLine="0" r:id="rId29">
            <anchor moveWithCells="1">
              <from>
                <xdr:col>3</xdr:col>
                <xdr:colOff>885825</xdr:colOff>
                <xdr:row>13</xdr:row>
                <xdr:rowOff>57150</xdr:rowOff>
              </from>
              <to>
                <xdr:col>3</xdr:col>
                <xdr:colOff>1209675</xdr:colOff>
                <xdr:row>14</xdr:row>
                <xdr:rowOff>152400</xdr:rowOff>
              </to>
            </anchor>
          </controlPr>
        </control>
      </mc:Choice>
      <mc:Fallback>
        <control shapeId="1078" r:id="rId28" name="t3"/>
      </mc:Fallback>
    </mc:AlternateContent>
    <mc:AlternateContent xmlns:mc="http://schemas.openxmlformats.org/markup-compatibility/2006">
      <mc:Choice Requires="x14">
        <control shapeId="1077" r:id="rId30" name="t4">
          <controlPr defaultSize="0" autoLine="0" r:id="rId31">
            <anchor moveWithCells="1">
              <from>
                <xdr:col>3</xdr:col>
                <xdr:colOff>1314450</xdr:colOff>
                <xdr:row>13</xdr:row>
                <xdr:rowOff>57150</xdr:rowOff>
              </from>
              <to>
                <xdr:col>4</xdr:col>
                <xdr:colOff>123825</xdr:colOff>
                <xdr:row>14</xdr:row>
                <xdr:rowOff>152400</xdr:rowOff>
              </to>
            </anchor>
          </controlPr>
        </control>
      </mc:Choice>
      <mc:Fallback>
        <control shapeId="1077" r:id="rId30" name="t4"/>
      </mc:Fallback>
    </mc:AlternateContent>
    <mc:AlternateContent xmlns:mc="http://schemas.openxmlformats.org/markup-compatibility/2006">
      <mc:Choice Requires="x14">
        <control shapeId="1076" r:id="rId32" name="t5">
          <controlPr defaultSize="0" autoLine="0" r:id="rId33">
            <anchor moveWithCells="1">
              <from>
                <xdr:col>4</xdr:col>
                <xdr:colOff>228600</xdr:colOff>
                <xdr:row>13</xdr:row>
                <xdr:rowOff>57150</xdr:rowOff>
              </from>
              <to>
                <xdr:col>4</xdr:col>
                <xdr:colOff>552450</xdr:colOff>
                <xdr:row>14</xdr:row>
                <xdr:rowOff>152400</xdr:rowOff>
              </to>
            </anchor>
          </controlPr>
        </control>
      </mc:Choice>
      <mc:Fallback>
        <control shapeId="1076" r:id="rId32" name="t5"/>
      </mc:Fallback>
    </mc:AlternateContent>
    <mc:AlternateContent xmlns:mc="http://schemas.openxmlformats.org/markup-compatibility/2006">
      <mc:Choice Requires="x14">
        <control shapeId="1075" r:id="rId34" name="t1">
          <controlPr defaultSize="0" autoLine="0" r:id="rId35">
            <anchor moveWithCells="1">
              <from>
                <xdr:col>3</xdr:col>
                <xdr:colOff>38100</xdr:colOff>
                <xdr:row>13</xdr:row>
                <xdr:rowOff>57150</xdr:rowOff>
              </from>
              <to>
                <xdr:col>3</xdr:col>
                <xdr:colOff>361950</xdr:colOff>
                <xdr:row>14</xdr:row>
                <xdr:rowOff>152400</xdr:rowOff>
              </to>
            </anchor>
          </controlPr>
        </control>
      </mc:Choice>
      <mc:Fallback>
        <control shapeId="1075" r:id="rId34" name="t1"/>
      </mc:Fallback>
    </mc:AlternateContent>
    <mc:AlternateContent xmlns:mc="http://schemas.openxmlformats.org/markup-compatibility/2006">
      <mc:Choice Requires="x14">
        <control shapeId="1074" r:id="rId36" name="c10">
          <controlPr defaultSize="0" autoLine="0" r:id="rId13">
            <anchor moveWithCells="1">
              <from>
                <xdr:col>5</xdr:col>
                <xdr:colOff>1447800</xdr:colOff>
                <xdr:row>11</xdr:row>
                <xdr:rowOff>85725</xdr:rowOff>
              </from>
              <to>
                <xdr:col>6</xdr:col>
                <xdr:colOff>257175</xdr:colOff>
                <xdr:row>12</xdr:row>
                <xdr:rowOff>180975</xdr:rowOff>
              </to>
            </anchor>
          </controlPr>
        </control>
      </mc:Choice>
      <mc:Fallback>
        <control shapeId="1074" r:id="rId36" name="c10"/>
      </mc:Fallback>
    </mc:AlternateContent>
    <mc:AlternateContent xmlns:mc="http://schemas.openxmlformats.org/markup-compatibility/2006">
      <mc:Choice Requires="x14">
        <control shapeId="1073" r:id="rId37" name="c9">
          <controlPr defaultSize="0" autoLine="0" r:id="rId15">
            <anchor moveWithCells="1">
              <from>
                <xdr:col>5</xdr:col>
                <xdr:colOff>1019175</xdr:colOff>
                <xdr:row>11</xdr:row>
                <xdr:rowOff>85725</xdr:rowOff>
              </from>
              <to>
                <xdr:col>5</xdr:col>
                <xdr:colOff>1343025</xdr:colOff>
                <xdr:row>12</xdr:row>
                <xdr:rowOff>180975</xdr:rowOff>
              </to>
            </anchor>
          </controlPr>
        </control>
      </mc:Choice>
      <mc:Fallback>
        <control shapeId="1073" r:id="rId37" name="c9"/>
      </mc:Fallback>
    </mc:AlternateContent>
    <mc:AlternateContent xmlns:mc="http://schemas.openxmlformats.org/markup-compatibility/2006">
      <mc:Choice Requires="x14">
        <control shapeId="1072" r:id="rId38" name="c11">
          <controlPr defaultSize="0" autoLine="0" r:id="rId17">
            <anchor moveWithCells="1">
              <from>
                <xdr:col>6</xdr:col>
                <xdr:colOff>361950</xdr:colOff>
                <xdr:row>11</xdr:row>
                <xdr:rowOff>85725</xdr:rowOff>
              </from>
              <to>
                <xdr:col>6</xdr:col>
                <xdr:colOff>685800</xdr:colOff>
                <xdr:row>12</xdr:row>
                <xdr:rowOff>180975</xdr:rowOff>
              </to>
            </anchor>
          </controlPr>
        </control>
      </mc:Choice>
      <mc:Fallback>
        <control shapeId="1072" r:id="rId38" name="c11"/>
      </mc:Fallback>
    </mc:AlternateContent>
    <mc:AlternateContent xmlns:mc="http://schemas.openxmlformats.org/markup-compatibility/2006">
      <mc:Choice Requires="x14">
        <control shapeId="1071" r:id="rId39" name="c8">
          <controlPr defaultSize="0" autoLine="0" r:id="rId19">
            <anchor moveWithCells="1">
              <from>
                <xdr:col>5</xdr:col>
                <xdr:colOff>590550</xdr:colOff>
                <xdr:row>11</xdr:row>
                <xdr:rowOff>85725</xdr:rowOff>
              </from>
              <to>
                <xdr:col>5</xdr:col>
                <xdr:colOff>914400</xdr:colOff>
                <xdr:row>12</xdr:row>
                <xdr:rowOff>180975</xdr:rowOff>
              </to>
            </anchor>
          </controlPr>
        </control>
      </mc:Choice>
      <mc:Fallback>
        <control shapeId="1071" r:id="rId39" name="c8"/>
      </mc:Fallback>
    </mc:AlternateContent>
    <mc:AlternateContent xmlns:mc="http://schemas.openxmlformats.org/markup-compatibility/2006">
      <mc:Choice Requires="x14">
        <control shapeId="1070" r:id="rId40" name="c7">
          <controlPr defaultSize="0" autoLine="0" r:id="rId21">
            <anchor moveWithCells="1">
              <from>
                <xdr:col>5</xdr:col>
                <xdr:colOff>171450</xdr:colOff>
                <xdr:row>11</xdr:row>
                <xdr:rowOff>85725</xdr:rowOff>
              </from>
              <to>
                <xdr:col>5</xdr:col>
                <xdr:colOff>495300</xdr:colOff>
                <xdr:row>12</xdr:row>
                <xdr:rowOff>180975</xdr:rowOff>
              </to>
            </anchor>
          </controlPr>
        </control>
      </mc:Choice>
      <mc:Fallback>
        <control shapeId="1070" r:id="rId40" name="c7"/>
      </mc:Fallback>
    </mc:AlternateContent>
    <mc:AlternateContent xmlns:mc="http://schemas.openxmlformats.org/markup-compatibility/2006">
      <mc:Choice Requires="x14">
        <control shapeId="1069" r:id="rId41" name="c6">
          <controlPr defaultSize="0" autoLine="0" r:id="rId23">
            <anchor moveWithCells="1">
              <from>
                <xdr:col>4</xdr:col>
                <xdr:colOff>647700</xdr:colOff>
                <xdr:row>11</xdr:row>
                <xdr:rowOff>85725</xdr:rowOff>
              </from>
              <to>
                <xdr:col>5</xdr:col>
                <xdr:colOff>66675</xdr:colOff>
                <xdr:row>12</xdr:row>
                <xdr:rowOff>180975</xdr:rowOff>
              </to>
            </anchor>
          </controlPr>
        </control>
      </mc:Choice>
      <mc:Fallback>
        <control shapeId="1069" r:id="rId41" name="c6"/>
      </mc:Fallback>
    </mc:AlternateContent>
    <mc:AlternateContent xmlns:mc="http://schemas.openxmlformats.org/markup-compatibility/2006">
      <mc:Choice Requires="x14">
        <control shapeId="1068" r:id="rId42" name="c2">
          <controlPr defaultSize="0" autoLine="0" r:id="rId25">
            <anchor moveWithCells="1">
              <from>
                <xdr:col>3</xdr:col>
                <xdr:colOff>457200</xdr:colOff>
                <xdr:row>11</xdr:row>
                <xdr:rowOff>85725</xdr:rowOff>
              </from>
              <to>
                <xdr:col>3</xdr:col>
                <xdr:colOff>781050</xdr:colOff>
                <xdr:row>12</xdr:row>
                <xdr:rowOff>180975</xdr:rowOff>
              </to>
            </anchor>
          </controlPr>
        </control>
      </mc:Choice>
      <mc:Fallback>
        <control shapeId="1068" r:id="rId42" name="c2"/>
      </mc:Fallback>
    </mc:AlternateContent>
    <mc:AlternateContent xmlns:mc="http://schemas.openxmlformats.org/markup-compatibility/2006">
      <mc:Choice Requires="x14">
        <control shapeId="1067" r:id="rId43" name="c12">
          <controlPr defaultSize="0" autoLine="0" r:id="rId27">
            <anchor moveWithCells="1">
              <from>
                <xdr:col>6</xdr:col>
                <xdr:colOff>781050</xdr:colOff>
                <xdr:row>11</xdr:row>
                <xdr:rowOff>85725</xdr:rowOff>
              </from>
              <to>
                <xdr:col>7</xdr:col>
                <xdr:colOff>200025</xdr:colOff>
                <xdr:row>12</xdr:row>
                <xdr:rowOff>180975</xdr:rowOff>
              </to>
            </anchor>
          </controlPr>
        </control>
      </mc:Choice>
      <mc:Fallback>
        <control shapeId="1067" r:id="rId43" name="c12"/>
      </mc:Fallback>
    </mc:AlternateContent>
    <mc:AlternateContent xmlns:mc="http://schemas.openxmlformats.org/markup-compatibility/2006">
      <mc:Choice Requires="x14">
        <control shapeId="1066" r:id="rId44" name="c3">
          <controlPr defaultSize="0" autoLine="0" r:id="rId29">
            <anchor moveWithCells="1">
              <from>
                <xdr:col>3</xdr:col>
                <xdr:colOff>885825</xdr:colOff>
                <xdr:row>11</xdr:row>
                <xdr:rowOff>85725</xdr:rowOff>
              </from>
              <to>
                <xdr:col>3</xdr:col>
                <xdr:colOff>1209675</xdr:colOff>
                <xdr:row>12</xdr:row>
                <xdr:rowOff>180975</xdr:rowOff>
              </to>
            </anchor>
          </controlPr>
        </control>
      </mc:Choice>
      <mc:Fallback>
        <control shapeId="1066" r:id="rId44" name="c3"/>
      </mc:Fallback>
    </mc:AlternateContent>
    <mc:AlternateContent xmlns:mc="http://schemas.openxmlformats.org/markup-compatibility/2006">
      <mc:Choice Requires="x14">
        <control shapeId="1065" r:id="rId45" name="c4">
          <controlPr defaultSize="0" autoLine="0" r:id="rId31">
            <anchor moveWithCells="1">
              <from>
                <xdr:col>3</xdr:col>
                <xdr:colOff>1304925</xdr:colOff>
                <xdr:row>11</xdr:row>
                <xdr:rowOff>85725</xdr:rowOff>
              </from>
              <to>
                <xdr:col>4</xdr:col>
                <xdr:colOff>114300</xdr:colOff>
                <xdr:row>12</xdr:row>
                <xdr:rowOff>180975</xdr:rowOff>
              </to>
            </anchor>
          </controlPr>
        </control>
      </mc:Choice>
      <mc:Fallback>
        <control shapeId="1065" r:id="rId45" name="c4"/>
      </mc:Fallback>
    </mc:AlternateContent>
    <mc:AlternateContent xmlns:mc="http://schemas.openxmlformats.org/markup-compatibility/2006">
      <mc:Choice Requires="x14">
        <control shapeId="1064" r:id="rId46" name="c5">
          <controlPr defaultSize="0" autoLine="0" r:id="rId33">
            <anchor moveWithCells="1">
              <from>
                <xdr:col>4</xdr:col>
                <xdr:colOff>219075</xdr:colOff>
                <xdr:row>11</xdr:row>
                <xdr:rowOff>85725</xdr:rowOff>
              </from>
              <to>
                <xdr:col>4</xdr:col>
                <xdr:colOff>542925</xdr:colOff>
                <xdr:row>12</xdr:row>
                <xdr:rowOff>180975</xdr:rowOff>
              </to>
            </anchor>
          </controlPr>
        </control>
      </mc:Choice>
      <mc:Fallback>
        <control shapeId="1064" r:id="rId46" name="c5"/>
      </mc:Fallback>
    </mc:AlternateContent>
    <mc:AlternateContent xmlns:mc="http://schemas.openxmlformats.org/markup-compatibility/2006">
      <mc:Choice Requires="x14">
        <control shapeId="1063" r:id="rId47" name="c1">
          <controlPr defaultSize="0" autoLine="0" r:id="rId35">
            <anchor moveWithCells="1">
              <from>
                <xdr:col>3</xdr:col>
                <xdr:colOff>28575</xdr:colOff>
                <xdr:row>11</xdr:row>
                <xdr:rowOff>85725</xdr:rowOff>
              </from>
              <to>
                <xdr:col>3</xdr:col>
                <xdr:colOff>352425</xdr:colOff>
                <xdr:row>12</xdr:row>
                <xdr:rowOff>180975</xdr:rowOff>
              </to>
            </anchor>
          </controlPr>
        </control>
      </mc:Choice>
      <mc:Fallback>
        <control shapeId="1063" r:id="rId47" name="c1"/>
      </mc:Fallback>
    </mc:AlternateContent>
    <mc:AlternateContent xmlns:mc="http://schemas.openxmlformats.org/markup-compatibility/2006">
      <mc:Choice Requires="x14">
        <control shapeId="1050" r:id="rId48" name="b10">
          <controlPr defaultSize="0" autoLine="0" r:id="rId13">
            <anchor moveWithCells="1">
              <from>
                <xdr:col>5</xdr:col>
                <xdr:colOff>1447800</xdr:colOff>
                <xdr:row>9</xdr:row>
                <xdr:rowOff>85725</xdr:rowOff>
              </from>
              <to>
                <xdr:col>6</xdr:col>
                <xdr:colOff>257175</xdr:colOff>
                <xdr:row>10</xdr:row>
                <xdr:rowOff>180975</xdr:rowOff>
              </to>
            </anchor>
          </controlPr>
        </control>
      </mc:Choice>
      <mc:Fallback>
        <control shapeId="1050" r:id="rId48" name="b10"/>
      </mc:Fallback>
    </mc:AlternateContent>
    <mc:AlternateContent xmlns:mc="http://schemas.openxmlformats.org/markup-compatibility/2006">
      <mc:Choice Requires="x14">
        <control shapeId="1049" r:id="rId49" name="b9">
          <controlPr defaultSize="0" autoLine="0" r:id="rId15">
            <anchor moveWithCells="1">
              <from>
                <xdr:col>5</xdr:col>
                <xdr:colOff>1019175</xdr:colOff>
                <xdr:row>9</xdr:row>
                <xdr:rowOff>85725</xdr:rowOff>
              </from>
              <to>
                <xdr:col>5</xdr:col>
                <xdr:colOff>1343025</xdr:colOff>
                <xdr:row>10</xdr:row>
                <xdr:rowOff>180975</xdr:rowOff>
              </to>
            </anchor>
          </controlPr>
        </control>
      </mc:Choice>
      <mc:Fallback>
        <control shapeId="1049" r:id="rId49" name="b9"/>
      </mc:Fallback>
    </mc:AlternateContent>
    <mc:AlternateContent xmlns:mc="http://schemas.openxmlformats.org/markup-compatibility/2006">
      <mc:Choice Requires="x14">
        <control shapeId="1048" r:id="rId50" name="b11">
          <controlPr defaultSize="0" autoLine="0" r:id="rId17">
            <anchor moveWithCells="1">
              <from>
                <xdr:col>6</xdr:col>
                <xdr:colOff>361950</xdr:colOff>
                <xdr:row>9</xdr:row>
                <xdr:rowOff>85725</xdr:rowOff>
              </from>
              <to>
                <xdr:col>6</xdr:col>
                <xdr:colOff>685800</xdr:colOff>
                <xdr:row>10</xdr:row>
                <xdr:rowOff>180975</xdr:rowOff>
              </to>
            </anchor>
          </controlPr>
        </control>
      </mc:Choice>
      <mc:Fallback>
        <control shapeId="1048" r:id="rId50" name="b11"/>
      </mc:Fallback>
    </mc:AlternateContent>
    <mc:AlternateContent xmlns:mc="http://schemas.openxmlformats.org/markup-compatibility/2006">
      <mc:Choice Requires="x14">
        <control shapeId="1047" r:id="rId51" name="b8">
          <controlPr defaultSize="0" autoLine="0" r:id="rId19">
            <anchor moveWithCells="1">
              <from>
                <xdr:col>5</xdr:col>
                <xdr:colOff>590550</xdr:colOff>
                <xdr:row>9</xdr:row>
                <xdr:rowOff>85725</xdr:rowOff>
              </from>
              <to>
                <xdr:col>5</xdr:col>
                <xdr:colOff>914400</xdr:colOff>
                <xdr:row>10</xdr:row>
                <xdr:rowOff>180975</xdr:rowOff>
              </to>
            </anchor>
          </controlPr>
        </control>
      </mc:Choice>
      <mc:Fallback>
        <control shapeId="1047" r:id="rId51" name="b8"/>
      </mc:Fallback>
    </mc:AlternateContent>
    <mc:AlternateContent xmlns:mc="http://schemas.openxmlformats.org/markup-compatibility/2006">
      <mc:Choice Requires="x14">
        <control shapeId="1046" r:id="rId52" name="b7">
          <controlPr defaultSize="0" autoLine="0" r:id="rId21">
            <anchor moveWithCells="1">
              <from>
                <xdr:col>5</xdr:col>
                <xdr:colOff>171450</xdr:colOff>
                <xdr:row>9</xdr:row>
                <xdr:rowOff>85725</xdr:rowOff>
              </from>
              <to>
                <xdr:col>5</xdr:col>
                <xdr:colOff>495300</xdr:colOff>
                <xdr:row>10</xdr:row>
                <xdr:rowOff>180975</xdr:rowOff>
              </to>
            </anchor>
          </controlPr>
        </control>
      </mc:Choice>
      <mc:Fallback>
        <control shapeId="1046" r:id="rId52" name="b7"/>
      </mc:Fallback>
    </mc:AlternateContent>
    <mc:AlternateContent xmlns:mc="http://schemas.openxmlformats.org/markup-compatibility/2006">
      <mc:Choice Requires="x14">
        <control shapeId="1045" r:id="rId53" name="b6">
          <controlPr defaultSize="0" autoLine="0" r:id="rId23">
            <anchor moveWithCells="1">
              <from>
                <xdr:col>4</xdr:col>
                <xdr:colOff>647700</xdr:colOff>
                <xdr:row>9</xdr:row>
                <xdr:rowOff>85725</xdr:rowOff>
              </from>
              <to>
                <xdr:col>5</xdr:col>
                <xdr:colOff>66675</xdr:colOff>
                <xdr:row>10</xdr:row>
                <xdr:rowOff>180975</xdr:rowOff>
              </to>
            </anchor>
          </controlPr>
        </control>
      </mc:Choice>
      <mc:Fallback>
        <control shapeId="1045" r:id="rId53" name="b6"/>
      </mc:Fallback>
    </mc:AlternateContent>
    <mc:AlternateContent xmlns:mc="http://schemas.openxmlformats.org/markup-compatibility/2006">
      <mc:Choice Requires="x14">
        <control shapeId="1044" r:id="rId54" name="b2">
          <controlPr defaultSize="0" autoLine="0" r:id="rId25">
            <anchor moveWithCells="1">
              <from>
                <xdr:col>3</xdr:col>
                <xdr:colOff>457200</xdr:colOff>
                <xdr:row>9</xdr:row>
                <xdr:rowOff>85725</xdr:rowOff>
              </from>
              <to>
                <xdr:col>3</xdr:col>
                <xdr:colOff>781050</xdr:colOff>
                <xdr:row>10</xdr:row>
                <xdr:rowOff>180975</xdr:rowOff>
              </to>
            </anchor>
          </controlPr>
        </control>
      </mc:Choice>
      <mc:Fallback>
        <control shapeId="1044" r:id="rId54" name="b2"/>
      </mc:Fallback>
    </mc:AlternateContent>
    <mc:AlternateContent xmlns:mc="http://schemas.openxmlformats.org/markup-compatibility/2006">
      <mc:Choice Requires="x14">
        <control shapeId="1043" r:id="rId55" name="b12">
          <controlPr defaultSize="0" autoLine="0" r:id="rId27">
            <anchor moveWithCells="1">
              <from>
                <xdr:col>6</xdr:col>
                <xdr:colOff>781050</xdr:colOff>
                <xdr:row>9</xdr:row>
                <xdr:rowOff>85725</xdr:rowOff>
              </from>
              <to>
                <xdr:col>7</xdr:col>
                <xdr:colOff>200025</xdr:colOff>
                <xdr:row>10</xdr:row>
                <xdr:rowOff>180975</xdr:rowOff>
              </to>
            </anchor>
          </controlPr>
        </control>
      </mc:Choice>
      <mc:Fallback>
        <control shapeId="1043" r:id="rId55" name="b12"/>
      </mc:Fallback>
    </mc:AlternateContent>
    <mc:AlternateContent xmlns:mc="http://schemas.openxmlformats.org/markup-compatibility/2006">
      <mc:Choice Requires="x14">
        <control shapeId="1042" r:id="rId56" name="b3">
          <controlPr defaultSize="0" autoLine="0" r:id="rId29">
            <anchor moveWithCells="1">
              <from>
                <xdr:col>3</xdr:col>
                <xdr:colOff>885825</xdr:colOff>
                <xdr:row>9</xdr:row>
                <xdr:rowOff>85725</xdr:rowOff>
              </from>
              <to>
                <xdr:col>3</xdr:col>
                <xdr:colOff>1209675</xdr:colOff>
                <xdr:row>10</xdr:row>
                <xdr:rowOff>180975</xdr:rowOff>
              </to>
            </anchor>
          </controlPr>
        </control>
      </mc:Choice>
      <mc:Fallback>
        <control shapeId="1042" r:id="rId56" name="b3"/>
      </mc:Fallback>
    </mc:AlternateContent>
    <mc:AlternateContent xmlns:mc="http://schemas.openxmlformats.org/markup-compatibility/2006">
      <mc:Choice Requires="x14">
        <control shapeId="1041" r:id="rId57" name="b4">
          <controlPr defaultSize="0" autoLine="0" r:id="rId31">
            <anchor moveWithCells="1">
              <from>
                <xdr:col>3</xdr:col>
                <xdr:colOff>1304925</xdr:colOff>
                <xdr:row>9</xdr:row>
                <xdr:rowOff>85725</xdr:rowOff>
              </from>
              <to>
                <xdr:col>4</xdr:col>
                <xdr:colOff>114300</xdr:colOff>
                <xdr:row>10</xdr:row>
                <xdr:rowOff>180975</xdr:rowOff>
              </to>
            </anchor>
          </controlPr>
        </control>
      </mc:Choice>
      <mc:Fallback>
        <control shapeId="1041" r:id="rId57" name="b4"/>
      </mc:Fallback>
    </mc:AlternateContent>
    <mc:AlternateContent xmlns:mc="http://schemas.openxmlformats.org/markup-compatibility/2006">
      <mc:Choice Requires="x14">
        <control shapeId="1040" r:id="rId58" name="b5">
          <controlPr defaultSize="0" autoLine="0" r:id="rId33">
            <anchor moveWithCells="1">
              <from>
                <xdr:col>4</xdr:col>
                <xdr:colOff>219075</xdr:colOff>
                <xdr:row>9</xdr:row>
                <xdr:rowOff>85725</xdr:rowOff>
              </from>
              <to>
                <xdr:col>4</xdr:col>
                <xdr:colOff>542925</xdr:colOff>
                <xdr:row>10</xdr:row>
                <xdr:rowOff>180975</xdr:rowOff>
              </to>
            </anchor>
          </controlPr>
        </control>
      </mc:Choice>
      <mc:Fallback>
        <control shapeId="1040" r:id="rId58" name="b5"/>
      </mc:Fallback>
    </mc:AlternateContent>
    <mc:AlternateContent xmlns:mc="http://schemas.openxmlformats.org/markup-compatibility/2006">
      <mc:Choice Requires="x14">
        <control shapeId="1039" r:id="rId59" name="b1">
          <controlPr defaultSize="0" autoLine="0" r:id="rId35">
            <anchor moveWithCells="1">
              <from>
                <xdr:col>3</xdr:col>
                <xdr:colOff>28575</xdr:colOff>
                <xdr:row>9</xdr:row>
                <xdr:rowOff>85725</xdr:rowOff>
              </from>
              <to>
                <xdr:col>3</xdr:col>
                <xdr:colOff>352425</xdr:colOff>
                <xdr:row>10</xdr:row>
                <xdr:rowOff>180975</xdr:rowOff>
              </to>
            </anchor>
          </controlPr>
        </control>
      </mc:Choice>
      <mc:Fallback>
        <control shapeId="1039" r:id="rId59" name="b1"/>
      </mc:Fallback>
    </mc:AlternateContent>
    <mc:AlternateContent xmlns:mc="http://schemas.openxmlformats.org/markup-compatibility/2006">
      <mc:Choice Requires="x14">
        <control shapeId="1025" r:id="rId60" name="blackB">
          <controlPr defaultSize="0" autoLine="0" r:id="rId61">
            <anchor moveWithCells="1">
              <from>
                <xdr:col>0</xdr:col>
                <xdr:colOff>85725</xdr:colOff>
                <xdr:row>9</xdr:row>
                <xdr:rowOff>104775</xdr:rowOff>
              </from>
              <to>
                <xdr:col>0</xdr:col>
                <xdr:colOff>962025</xdr:colOff>
                <xdr:row>11</xdr:row>
                <xdr:rowOff>57150</xdr:rowOff>
              </to>
            </anchor>
          </controlPr>
        </control>
      </mc:Choice>
      <mc:Fallback>
        <control shapeId="1025" r:id="rId60" name="blackB"/>
      </mc:Fallback>
    </mc:AlternateContent>
    <mc:AlternateContent xmlns:mc="http://schemas.openxmlformats.org/markup-compatibility/2006">
      <mc:Choice Requires="x14">
        <control shapeId="1027" r:id="rId62" name="pinkB">
          <controlPr defaultSize="0" autoLine="0" r:id="rId63">
            <anchor moveWithCells="1">
              <from>
                <xdr:col>0</xdr:col>
                <xdr:colOff>1123950</xdr:colOff>
                <xdr:row>9</xdr:row>
                <xdr:rowOff>104775</xdr:rowOff>
              </from>
              <to>
                <xdr:col>0</xdr:col>
                <xdr:colOff>2000250</xdr:colOff>
                <xdr:row>11</xdr:row>
                <xdr:rowOff>57150</xdr:rowOff>
              </to>
            </anchor>
          </controlPr>
        </control>
      </mc:Choice>
      <mc:Fallback>
        <control shapeId="1027" r:id="rId62" name="pinkB"/>
      </mc:Fallback>
    </mc:AlternateContent>
    <mc:AlternateContent xmlns:mc="http://schemas.openxmlformats.org/markup-compatibility/2006">
      <mc:Choice Requires="x14">
        <control shapeId="1028" r:id="rId64" name="whiteB">
          <controlPr defaultSize="0" autoLine="0" r:id="rId65">
            <anchor moveWithCells="1">
              <from>
                <xdr:col>1</xdr:col>
                <xdr:colOff>57150</xdr:colOff>
                <xdr:row>9</xdr:row>
                <xdr:rowOff>104775</xdr:rowOff>
              </from>
              <to>
                <xdr:col>1</xdr:col>
                <xdr:colOff>933450</xdr:colOff>
                <xdr:row>11</xdr:row>
                <xdr:rowOff>57150</xdr:rowOff>
              </to>
            </anchor>
          </controlPr>
        </control>
      </mc:Choice>
      <mc:Fallback>
        <control shapeId="1028" r:id="rId64" name="whiteB"/>
      </mc:Fallback>
    </mc:AlternateContent>
    <mc:AlternateContent xmlns:mc="http://schemas.openxmlformats.org/markup-compatibility/2006">
      <mc:Choice Requires="x14">
        <control shapeId="1029" r:id="rId66" name="blackC">
          <controlPr defaultSize="0" autoLine="0" r:id="rId67">
            <anchor moveWithCells="1">
              <from>
                <xdr:col>0</xdr:col>
                <xdr:colOff>85725</xdr:colOff>
                <xdr:row>12</xdr:row>
                <xdr:rowOff>0</xdr:rowOff>
              </from>
              <to>
                <xdr:col>0</xdr:col>
                <xdr:colOff>962025</xdr:colOff>
                <xdr:row>13</xdr:row>
                <xdr:rowOff>142875</xdr:rowOff>
              </to>
            </anchor>
          </controlPr>
        </control>
      </mc:Choice>
      <mc:Fallback>
        <control shapeId="1029" r:id="rId66" name="blackC"/>
      </mc:Fallback>
    </mc:AlternateContent>
    <mc:AlternateContent xmlns:mc="http://schemas.openxmlformats.org/markup-compatibility/2006">
      <mc:Choice Requires="x14">
        <control shapeId="1030" r:id="rId68" name="pinkC">
          <controlPr defaultSize="0" autoLine="0" r:id="rId69">
            <anchor moveWithCells="1">
              <from>
                <xdr:col>0</xdr:col>
                <xdr:colOff>1114425</xdr:colOff>
                <xdr:row>12</xdr:row>
                <xdr:rowOff>0</xdr:rowOff>
              </from>
              <to>
                <xdr:col>0</xdr:col>
                <xdr:colOff>1990725</xdr:colOff>
                <xdr:row>13</xdr:row>
                <xdr:rowOff>142875</xdr:rowOff>
              </to>
            </anchor>
          </controlPr>
        </control>
      </mc:Choice>
      <mc:Fallback>
        <control shapeId="1030" r:id="rId68" name="pinkC"/>
      </mc:Fallback>
    </mc:AlternateContent>
    <mc:AlternateContent xmlns:mc="http://schemas.openxmlformats.org/markup-compatibility/2006">
      <mc:Choice Requires="x14">
        <control shapeId="1031" r:id="rId70" name="whiteC">
          <controlPr defaultSize="0" autoLine="0" r:id="rId71">
            <anchor moveWithCells="1">
              <from>
                <xdr:col>1</xdr:col>
                <xdr:colOff>66675</xdr:colOff>
                <xdr:row>12</xdr:row>
                <xdr:rowOff>0</xdr:rowOff>
              </from>
              <to>
                <xdr:col>1</xdr:col>
                <xdr:colOff>942975</xdr:colOff>
                <xdr:row>13</xdr:row>
                <xdr:rowOff>142875</xdr:rowOff>
              </to>
            </anchor>
          </controlPr>
        </control>
      </mc:Choice>
      <mc:Fallback>
        <control shapeId="1031" r:id="rId70" name="whiteC"/>
      </mc:Fallback>
    </mc:AlternateContent>
    <mc:AlternateContent xmlns:mc="http://schemas.openxmlformats.org/markup-compatibility/2006">
      <mc:Choice Requires="x14">
        <control shapeId="1034" r:id="rId72" name="ResetB">
          <controlPr defaultSize="0" autoLine="0" r:id="rId73">
            <anchor moveWithCells="1">
              <from>
                <xdr:col>1</xdr:col>
                <xdr:colOff>1133475</xdr:colOff>
                <xdr:row>9</xdr:row>
                <xdr:rowOff>38100</xdr:rowOff>
              </from>
              <to>
                <xdr:col>2</xdr:col>
                <xdr:colOff>495300</xdr:colOff>
                <xdr:row>10</xdr:row>
                <xdr:rowOff>228600</xdr:rowOff>
              </to>
            </anchor>
          </controlPr>
        </control>
      </mc:Choice>
      <mc:Fallback>
        <control shapeId="1034" r:id="rId72" name="ResetB"/>
      </mc:Fallback>
    </mc:AlternateContent>
    <mc:AlternateContent xmlns:mc="http://schemas.openxmlformats.org/markup-compatibility/2006">
      <mc:Choice Requires="x14">
        <control shapeId="1035" r:id="rId74" name="ResetC">
          <controlPr defaultSize="0" autoLine="0" r:id="rId75">
            <anchor moveWithCells="1">
              <from>
                <xdr:col>1</xdr:col>
                <xdr:colOff>1133475</xdr:colOff>
                <xdr:row>11</xdr:row>
                <xdr:rowOff>19050</xdr:rowOff>
              </from>
              <to>
                <xdr:col>2</xdr:col>
                <xdr:colOff>495300</xdr:colOff>
                <xdr:row>12</xdr:row>
                <xdr:rowOff>209550</xdr:rowOff>
              </to>
            </anchor>
          </controlPr>
        </control>
      </mc:Choice>
      <mc:Fallback>
        <control shapeId="1035" r:id="rId74" name="ResetC"/>
      </mc:Fallback>
    </mc:AlternateContent>
    <mc:AlternateContent xmlns:mc="http://schemas.openxmlformats.org/markup-compatibility/2006">
      <mc:Choice Requires="x14">
        <control shapeId="1092" r:id="rId76" name="CommandButton1">
          <controlPr defaultSize="0" autoLine="0" r:id="rId27">
            <anchor moveWithCells="1">
              <from>
                <xdr:col>6</xdr:col>
                <xdr:colOff>781050</xdr:colOff>
                <xdr:row>11</xdr:row>
                <xdr:rowOff>85725</xdr:rowOff>
              </from>
              <to>
                <xdr:col>7</xdr:col>
                <xdr:colOff>200025</xdr:colOff>
                <xdr:row>12</xdr:row>
                <xdr:rowOff>180975</xdr:rowOff>
              </to>
            </anchor>
          </controlPr>
        </control>
      </mc:Choice>
      <mc:Fallback>
        <control shapeId="1092" r:id="rId76" name="CommandButton1"/>
      </mc:Fallback>
    </mc:AlternateContent>
    <mc:AlternateContent xmlns:mc="http://schemas.openxmlformats.org/markup-compatibility/2006">
      <mc:Choice Requires="x14">
        <control shapeId="1093" r:id="rId77" name="CommandButton2">
          <controlPr defaultSize="0" autoLine="0" r:id="rId9">
            <anchor moveWithCells="1">
              <from>
                <xdr:col>7</xdr:col>
                <xdr:colOff>304800</xdr:colOff>
                <xdr:row>11</xdr:row>
                <xdr:rowOff>85725</xdr:rowOff>
              </from>
              <to>
                <xdr:col>7</xdr:col>
                <xdr:colOff>628650</xdr:colOff>
                <xdr:row>12</xdr:row>
                <xdr:rowOff>180975</xdr:rowOff>
              </to>
            </anchor>
          </controlPr>
        </control>
      </mc:Choice>
      <mc:Fallback>
        <control shapeId="1093" r:id="rId77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22"/>
  <sheetViews>
    <sheetView topLeftCell="A4" workbookViewId="0">
      <selection activeCell="F21" sqref="F21"/>
    </sheetView>
  </sheetViews>
  <sheetFormatPr defaultRowHeight="15" x14ac:dyDescent="0.25"/>
  <cols>
    <col min="1" max="1" width="5.5703125" customWidth="1"/>
    <col min="2" max="2" width="2" customWidth="1"/>
    <col min="3" max="3" width="20" bestFit="1" customWidth="1"/>
    <col min="4" max="4" width="14" bestFit="1" customWidth="1"/>
    <col min="5" max="5" width="12.28515625" customWidth="1"/>
    <col min="6" max="6" width="14" bestFit="1" customWidth="1"/>
    <col min="8" max="8" width="14" bestFit="1" customWidth="1"/>
    <col min="10" max="10" width="14" bestFit="1" customWidth="1"/>
    <col min="12" max="12" width="5" customWidth="1"/>
    <col min="14" max="14" width="19.5703125" bestFit="1" customWidth="1"/>
  </cols>
  <sheetData>
    <row r="1" spans="1:17" x14ac:dyDescent="0.25">
      <c r="A1" s="20"/>
      <c r="B1" s="20"/>
      <c r="C1" s="32" t="s">
        <v>38</v>
      </c>
      <c r="D1" s="32"/>
      <c r="E1" s="23" t="s">
        <v>14</v>
      </c>
      <c r="F1" s="24" t="str">
        <f>CONCATENATE(ROUNDUP(ABS((O7/F20*100)-100),1),"  %")</f>
        <v>0.3  %</v>
      </c>
      <c r="G1" s="32" t="s">
        <v>39</v>
      </c>
      <c r="H1" s="32"/>
      <c r="I1" s="23" t="s">
        <v>14</v>
      </c>
      <c r="J1" s="24">
        <f>ROUNDUP(ABS(O7-F20),Q3)</f>
        <v>0.05</v>
      </c>
      <c r="K1" s="20"/>
      <c r="L1" s="20"/>
      <c r="M1" s="20"/>
    </row>
    <row r="2" spans="1:17" x14ac:dyDescent="0.25">
      <c r="A2" s="20"/>
      <c r="B2" s="20"/>
      <c r="C2" s="20"/>
      <c r="D2" s="20"/>
      <c r="E2" s="23" t="s">
        <v>40</v>
      </c>
      <c r="F2" s="24" t="str">
        <f>CONCATENATE(ROUNDUP(ABS((O8/F21*100)-100),1),"  %")</f>
        <v>8.9  %</v>
      </c>
      <c r="G2" s="20"/>
      <c r="H2" s="20"/>
      <c r="I2" s="23" t="s">
        <v>40</v>
      </c>
      <c r="J2" s="24">
        <f>ROUNDUP(ABS(O8-F21),Q3)</f>
        <v>0.68</v>
      </c>
      <c r="K2" s="20"/>
      <c r="L2" s="20"/>
      <c r="M2" s="20"/>
      <c r="Q2" t="s">
        <v>35</v>
      </c>
    </row>
    <row r="3" spans="1:17" ht="31.5" customHeight="1" x14ac:dyDescent="0.25">
      <c r="A3" s="22">
        <f>ROUNDUP(O11/O17*O8,Q3)</f>
        <v>0.99</v>
      </c>
      <c r="B3" s="20"/>
      <c r="C3" s="33" t="s">
        <v>9</v>
      </c>
      <c r="D3" s="33"/>
      <c r="E3" s="33"/>
      <c r="F3" s="33"/>
      <c r="G3" s="33"/>
      <c r="H3" s="33"/>
      <c r="I3" s="33"/>
      <c r="J3" s="33"/>
      <c r="K3" s="33"/>
      <c r="L3" s="20"/>
      <c r="M3" s="20"/>
      <c r="N3" t="s">
        <v>16</v>
      </c>
      <c r="O3">
        <f>ROUNDUP(P3/1.85,Q3)</f>
        <v>2.3299999999999996</v>
      </c>
      <c r="P3">
        <v>4.3</v>
      </c>
      <c r="Q3" s="18">
        <f>Sheet1!H20</f>
        <v>2</v>
      </c>
    </row>
    <row r="4" spans="1:17" ht="27" customHeight="1" thickBot="1" x14ac:dyDescent="0.3">
      <c r="A4" s="22">
        <f>ROUNDUP(O12/O17*O8,Q3)</f>
        <v>0.55000000000000004</v>
      </c>
      <c r="B4" s="20"/>
      <c r="C4" s="1" t="s">
        <v>0</v>
      </c>
      <c r="D4" s="1" t="s">
        <v>6</v>
      </c>
      <c r="E4" s="16"/>
      <c r="F4" s="1" t="s">
        <v>7</v>
      </c>
      <c r="G4" s="1"/>
      <c r="H4" s="1" t="s">
        <v>8</v>
      </c>
      <c r="I4" s="1"/>
      <c r="J4" s="1" t="s">
        <v>10</v>
      </c>
      <c r="K4" s="1"/>
      <c r="L4" s="20"/>
      <c r="M4" s="20"/>
      <c r="N4" t="s">
        <v>17</v>
      </c>
      <c r="O4">
        <f>ROUNDUP(P4/1.85,Q3)</f>
        <v>1.68</v>
      </c>
      <c r="P4">
        <v>3.1</v>
      </c>
    </row>
    <row r="5" spans="1:17" ht="34.5" customHeight="1" thickBot="1" x14ac:dyDescent="0.3">
      <c r="A5" s="35">
        <f>ROUNDUP(O13/O17*O8,Q3)</f>
        <v>2.7399999999999998</v>
      </c>
      <c r="B5" s="20"/>
      <c r="C5" s="34" t="s">
        <v>1</v>
      </c>
      <c r="D5" s="14" t="s">
        <v>2</v>
      </c>
      <c r="E5" s="21">
        <f>ROUNDUP(O19/O22*O21,Q3)</f>
        <v>1.1000000000000001</v>
      </c>
      <c r="F5" s="15" t="s">
        <v>2</v>
      </c>
      <c r="G5" s="11"/>
      <c r="H5" s="11" t="s">
        <v>2</v>
      </c>
      <c r="I5" s="11"/>
      <c r="J5" s="11" t="s">
        <v>2</v>
      </c>
      <c r="K5" s="11"/>
      <c r="L5" s="20"/>
      <c r="M5" s="20"/>
      <c r="N5" t="s">
        <v>18</v>
      </c>
      <c r="O5">
        <f>P5/1.85</f>
        <v>1</v>
      </c>
      <c r="P5">
        <v>1.85</v>
      </c>
    </row>
    <row r="6" spans="1:17" ht="43.5" customHeight="1" thickBot="1" x14ac:dyDescent="0.3">
      <c r="A6" s="35"/>
      <c r="B6" s="20"/>
      <c r="C6" s="34"/>
      <c r="D6" s="14" t="s">
        <v>3</v>
      </c>
      <c r="E6" s="21">
        <f>ROUNDUP(O20/O22*O21,Q3)</f>
        <v>1.65</v>
      </c>
      <c r="F6" s="15" t="s">
        <v>3</v>
      </c>
      <c r="G6" s="11"/>
      <c r="H6" s="11" t="s">
        <v>3</v>
      </c>
      <c r="I6" s="11"/>
      <c r="J6" s="11" t="s">
        <v>3</v>
      </c>
      <c r="K6" s="11"/>
      <c r="L6" s="20"/>
      <c r="M6" s="20"/>
      <c r="N6" t="s">
        <v>20</v>
      </c>
      <c r="O6">
        <f>Sheet1!H19</f>
        <v>4</v>
      </c>
    </row>
    <row r="7" spans="1:17" ht="34.5" customHeight="1" x14ac:dyDescent="0.25">
      <c r="A7" s="35">
        <f>ROUNDUP(O14/O17*O8,Q3)</f>
        <v>2.7399999999999998</v>
      </c>
      <c r="B7" s="20"/>
      <c r="C7" s="34" t="s">
        <v>4</v>
      </c>
      <c r="D7" s="11" t="s">
        <v>2</v>
      </c>
      <c r="E7" s="13"/>
      <c r="F7" s="11" t="s">
        <v>2</v>
      </c>
      <c r="G7" s="11"/>
      <c r="H7" s="11" t="s">
        <v>2</v>
      </c>
      <c r="I7" s="11"/>
      <c r="J7" s="11" t="s">
        <v>2</v>
      </c>
      <c r="K7" s="11"/>
      <c r="L7" s="20"/>
      <c r="M7" s="20"/>
      <c r="N7" t="s">
        <v>21</v>
      </c>
      <c r="O7">
        <f>Sheet1!C41</f>
        <v>24.1</v>
      </c>
    </row>
    <row r="8" spans="1:17" ht="33.75" customHeight="1" x14ac:dyDescent="0.25">
      <c r="A8" s="35"/>
      <c r="B8" s="20"/>
      <c r="C8" s="34"/>
      <c r="D8" s="11" t="s">
        <v>3</v>
      </c>
      <c r="E8" s="11"/>
      <c r="F8" s="11" t="s">
        <v>3</v>
      </c>
      <c r="G8" s="11"/>
      <c r="H8" s="11" t="s">
        <v>3</v>
      </c>
      <c r="I8" s="11"/>
      <c r="J8" s="11" t="s">
        <v>3</v>
      </c>
      <c r="K8" s="11"/>
      <c r="L8" s="20"/>
      <c r="M8" s="20"/>
      <c r="N8" t="s">
        <v>22</v>
      </c>
      <c r="O8">
        <f>Sheet1!G26</f>
        <v>7</v>
      </c>
    </row>
    <row r="9" spans="1:17" ht="30.75" customHeight="1" x14ac:dyDescent="0.25">
      <c r="A9" s="22">
        <f>ROUNDUP((O15/O17*O8),Q3)</f>
        <v>0.33</v>
      </c>
      <c r="B9" s="20"/>
      <c r="C9" s="1" t="s">
        <v>5</v>
      </c>
      <c r="D9" s="1" t="s">
        <v>2</v>
      </c>
      <c r="E9" s="1"/>
      <c r="F9" s="1" t="s">
        <v>2</v>
      </c>
      <c r="G9" s="1"/>
      <c r="H9" s="1" t="s">
        <v>2</v>
      </c>
      <c r="I9" s="1"/>
      <c r="J9" s="1" t="s">
        <v>2</v>
      </c>
      <c r="K9" s="1"/>
      <c r="L9" s="20"/>
      <c r="M9" s="20"/>
      <c r="N9" s="19" t="s">
        <v>27</v>
      </c>
      <c r="O9">
        <f>O3+O6*(O4+O5)</f>
        <v>13.049999999999999</v>
      </c>
    </row>
    <row r="10" spans="1:17" ht="24.75" customHeight="1" x14ac:dyDescent="0.25">
      <c r="A10" s="22">
        <f>ROUNDUP(O16/O17*O8,Q3)</f>
        <v>0.33</v>
      </c>
      <c r="B10" s="20"/>
      <c r="C10" s="1" t="s">
        <v>5</v>
      </c>
      <c r="D10" s="1" t="s">
        <v>3</v>
      </c>
      <c r="E10" s="1"/>
      <c r="F10" s="1" t="s">
        <v>3</v>
      </c>
      <c r="G10" s="1"/>
      <c r="H10" s="1" t="s">
        <v>3</v>
      </c>
      <c r="I10" s="1"/>
      <c r="J10" s="1" t="s">
        <v>3</v>
      </c>
      <c r="K10" s="1"/>
      <c r="L10" s="20"/>
      <c r="M10" s="20"/>
    </row>
    <row r="11" spans="1:17" ht="12" customHeight="1" x14ac:dyDescent="0.25">
      <c r="A11" s="20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t="s">
        <v>23</v>
      </c>
      <c r="O11">
        <f>P11/0.3</f>
        <v>3</v>
      </c>
      <c r="P11">
        <v>0.9</v>
      </c>
    </row>
    <row r="12" spans="1:17" x14ac:dyDescent="0.25">
      <c r="A12" s="20"/>
      <c r="B12" s="20"/>
      <c r="C12" s="22">
        <f>ROUNDUP((O3/O9)*O7,Q3)</f>
        <v>4.3099999999999996</v>
      </c>
      <c r="D12" s="22">
        <f>ROUNDUP((O4/O9)*O7,Q3)</f>
        <v>3.11</v>
      </c>
      <c r="E12" s="22">
        <f>ROUNDUP((O5/O9)*O7,Q3)</f>
        <v>1.85</v>
      </c>
      <c r="F12" s="22">
        <f>ROUNDUP((O4/O9)*O7,Q3)</f>
        <v>3.11</v>
      </c>
      <c r="G12" s="22">
        <f>ROUNDUP((O5/O9)*O7,Q3)</f>
        <v>1.85</v>
      </c>
      <c r="H12" s="22">
        <f>ROUNDUP((O4/O9)*O7,Q3)</f>
        <v>3.11</v>
      </c>
      <c r="I12" s="22">
        <f>ROUNDUP((O5/O9)*O7,Q3)</f>
        <v>1.85</v>
      </c>
      <c r="J12" s="22">
        <f>ROUNDUP((O4/O9)*O7,Q3)</f>
        <v>3.11</v>
      </c>
      <c r="K12" s="22">
        <f>ROUNDUP((O5/O9)*O7,Q3)</f>
        <v>1.85</v>
      </c>
      <c r="L12" s="20"/>
      <c r="M12" s="20"/>
      <c r="N12" t="s">
        <v>24</v>
      </c>
      <c r="O12">
        <f>ROUNDUP(P12/0.3,Q3)</f>
        <v>1.67</v>
      </c>
      <c r="P12">
        <v>0.5</v>
      </c>
    </row>
    <row r="13" spans="1:17" x14ac:dyDescent="0.25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t="s">
        <v>25</v>
      </c>
      <c r="O13">
        <f>ROUNDUP(P13/0.3,Q3)</f>
        <v>8.34</v>
      </c>
      <c r="P13">
        <v>2.5</v>
      </c>
    </row>
    <row r="14" spans="1:17" x14ac:dyDescent="0.25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t="s">
        <v>26</v>
      </c>
      <c r="O14">
        <f>ROUNDUP(P14/0.3,Q3)</f>
        <v>8.34</v>
      </c>
      <c r="P14">
        <v>2.5</v>
      </c>
    </row>
    <row r="15" spans="1:17" x14ac:dyDescent="0.25">
      <c r="N15" t="s">
        <v>29</v>
      </c>
      <c r="O15">
        <f>P15/0.3</f>
        <v>1</v>
      </c>
      <c r="P15">
        <v>0.3</v>
      </c>
    </row>
    <row r="16" spans="1:17" x14ac:dyDescent="0.25">
      <c r="N16" t="s">
        <v>30</v>
      </c>
      <c r="O16">
        <f>P16/0.3</f>
        <v>1</v>
      </c>
      <c r="P16">
        <v>0.3</v>
      </c>
    </row>
    <row r="17" spans="4:16" ht="30" x14ac:dyDescent="0.25">
      <c r="N17" s="19" t="s">
        <v>28</v>
      </c>
      <c r="O17">
        <f>+O14+O13+O12+O11</f>
        <v>21.35</v>
      </c>
    </row>
    <row r="19" spans="4:16" x14ac:dyDescent="0.25">
      <c r="N19" t="s">
        <v>31</v>
      </c>
      <c r="O19">
        <f>P19/1</f>
        <v>1</v>
      </c>
      <c r="P19">
        <v>1</v>
      </c>
    </row>
    <row r="20" spans="4:16" x14ac:dyDescent="0.25">
      <c r="D20" s="36" t="s">
        <v>37</v>
      </c>
      <c r="E20" s="36"/>
      <c r="F20">
        <f>ROUNDUP((C12+O6*(D12+E12)),Q3)</f>
        <v>24.15</v>
      </c>
      <c r="N20" t="s">
        <v>32</v>
      </c>
      <c r="O20">
        <f>P20/1</f>
        <v>1.5</v>
      </c>
      <c r="P20">
        <v>1.5</v>
      </c>
    </row>
    <row r="21" spans="4:16" x14ac:dyDescent="0.25">
      <c r="D21" s="36" t="s">
        <v>36</v>
      </c>
      <c r="E21" s="36"/>
      <c r="F21">
        <f>ROUNDUP(SUM(A3:A10),Q3)</f>
        <v>7.68</v>
      </c>
      <c r="N21" t="s">
        <v>33</v>
      </c>
      <c r="O21">
        <f>A5</f>
        <v>2.7399999999999998</v>
      </c>
    </row>
    <row r="22" spans="4:16" ht="30" x14ac:dyDescent="0.25">
      <c r="N22" s="19" t="s">
        <v>34</v>
      </c>
      <c r="O22">
        <f>O20+O19</f>
        <v>2.5</v>
      </c>
    </row>
  </sheetData>
  <sheetProtection algorithmName="SHA-512" hashValue="V90MGMzbIxfuznjJIsyqNbYiOaUvq/JGRSzlgtrnyhHilc5dIubOixqPk0tRAY7a1rDRNRiLKrWxK//ISVCVvw==" saltValue="hn4wrEbZ1CGEm5WytxO7VA==" spinCount="100000" sheet="1" objects="1" scenarios="1"/>
  <mergeCells count="9">
    <mergeCell ref="D20:E20"/>
    <mergeCell ref="D21:E21"/>
    <mergeCell ref="C1:D1"/>
    <mergeCell ref="G1:H1"/>
    <mergeCell ref="C3:K3"/>
    <mergeCell ref="C5:C6"/>
    <mergeCell ref="C7:C8"/>
    <mergeCell ref="A5:A6"/>
    <mergeCell ref="A7:A8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ABDULLAH</dc:creator>
  <cp:lastModifiedBy>ABDULLAH</cp:lastModifiedBy>
  <cp:lastPrinted>2015-02-20T11:17:35Z</cp:lastPrinted>
  <dcterms:created xsi:type="dcterms:W3CDTF">2015-02-19T17:10:44Z</dcterms:created>
  <dcterms:modified xsi:type="dcterms:W3CDTF">2015-02-25T13:11:39Z</dcterms:modified>
</cp:coreProperties>
</file>